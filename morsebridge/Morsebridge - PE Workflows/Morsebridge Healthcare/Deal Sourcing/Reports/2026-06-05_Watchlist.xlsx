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chlis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'Watchlist'!$A$1:$M$1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color rgb="00888888"/>
      <sz val="9"/>
    </font>
    <font>
      <name val="Arial"/>
      <b val="1"/>
      <color rgb="001A7A2E"/>
      <sz val="10"/>
    </font>
  </fonts>
  <fills count="9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D6E4F0"/>
      </patternFill>
    </fill>
    <fill>
      <patternFill patternType="solid">
        <fgColor rgb="00FFFF00"/>
      </patternFill>
    </fill>
    <fill>
      <patternFill patternType="solid">
        <fgColor rgb="0092D050"/>
      </patternFill>
    </fill>
    <fill>
      <patternFill patternType="solid">
        <fgColor rgb="001A7A2E"/>
      </patternFill>
    </fill>
    <fill>
      <patternFill patternType="solid">
        <fgColor rgb="00FFFFFF"/>
      </patternFill>
    </fill>
    <fill>
      <patternFill patternType="solid">
        <fgColor rgb="00FFC00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8" customWidth="1" min="3" max="3"/>
    <col width="20" customWidth="1" min="4" max="4"/>
    <col width="18" customWidth="1" min="5" max="5"/>
    <col width="32" customWidth="1" min="6" max="6"/>
    <col width="16" customWidth="1" min="7" max="7"/>
    <col width="32" customWidth="1" min="8" max="8"/>
    <col width="60" customWidth="1" min="9" max="9"/>
    <col width="22" customWidth="1" min="10" max="10"/>
    <col width="36" customWidth="1" min="11" max="11"/>
    <col width="60" customWidth="1" min="12" max="12"/>
    <col width="20" customWidth="1" min="13" max="13"/>
  </cols>
  <sheetData>
    <row r="1" ht="30" customHeight="1">
      <c r="A1" s="1" t="inlineStr">
        <is>
          <t>Company Name</t>
        </is>
      </c>
      <c r="B1" s="1" t="inlineStr">
        <is>
          <t>Sub-Sector</t>
        </is>
      </c>
      <c r="C1" s="1" t="inlineStr">
        <is>
          <t>HQ</t>
        </is>
      </c>
      <c r="D1" s="1" t="inlineStr">
        <is>
          <t>Est. Revenue ($M)</t>
        </is>
      </c>
      <c r="E1" s="1" t="inlineStr">
        <is>
          <t>Est. EBITDA ($M)</t>
        </is>
      </c>
      <c r="F1" s="1" t="inlineStr">
        <is>
          <t>Ownership</t>
        </is>
      </c>
      <c r="G1" s="1" t="inlineStr">
        <is>
          <t>PE Hold (years)</t>
        </is>
      </c>
      <c r="H1" s="1" t="inlineStr">
        <is>
          <t>Signal Type</t>
        </is>
      </c>
      <c r="I1" s="1" t="inlineStr">
        <is>
          <t>Signal Detail</t>
        </is>
      </c>
      <c r="J1" s="1" t="inlineStr">
        <is>
          <t>Signal Strength Score</t>
        </is>
      </c>
      <c r="K1" s="1" t="inlineStr">
        <is>
          <t>Source</t>
        </is>
      </c>
      <c r="L1" s="1" t="inlineStr">
        <is>
          <t>Analyst Comment</t>
        </is>
      </c>
      <c r="M1" s="1" t="inlineStr">
        <is>
          <t>Recommended Action</t>
        </is>
      </c>
    </row>
    <row r="2" ht="60" customHeight="1">
      <c r="A2" s="2" t="inlineStr">
        <is>
          <t>symplr</t>
        </is>
      </c>
      <c r="B2" s="2" t="inlineStr">
        <is>
          <t>Healthcare Workforce &amp; Scheduling Technology</t>
        </is>
      </c>
      <c r="C2" s="2" t="inlineStr">
        <is>
          <t>Houston, TX</t>
        </is>
      </c>
      <c r="D2" s="3" t="inlineStr">
        <is>
          <t>~$350 (Est. unverified)</t>
        </is>
      </c>
      <c r="E2" s="3" t="inlineStr">
        <is>
          <t>~$70 (Est. unverified)</t>
        </is>
      </c>
      <c r="F2" s="2" t="inlineStr">
        <is>
          <t>PE-backed (Clearlake Capital / Charlesbank)</t>
        </is>
      </c>
      <c r="G2" s="2" t="inlineStr">
        <is>
          <t>~8</t>
        </is>
      </c>
      <c r="H2" s="2" t="inlineStr">
        <is>
          <t>C-suite hire signals</t>
        </is>
      </c>
      <c r="I2" s="2" t="inlineStr">
        <is>
          <t>New CEO Venkat Kavarthapu appointed April 2026; Clearlake investment dates to October 2018 — nearing upper end of typical hold window alongside active bolt-on M&amp;A.</t>
        </is>
      </c>
      <c r="J2" s="4" t="n">
        <v>4</v>
      </c>
      <c r="K2" s="2" t="inlineStr">
        <is>
          <t>PR Newswire; PE Hub; Clearlake.com</t>
        </is>
      </c>
      <c r="L2" s="2" t="inlineStr">
        <is>
          <t>8-year Clearlake hold with CEO replacement and sustained M&amp;A is a high-conviction exit signal; platform has grown 500%+ since investment and spans credentialing, workforce, and compliance.</t>
        </is>
      </c>
      <c r="M2" s="5" t="inlineStr">
        <is>
          <t>Request CIM</t>
        </is>
      </c>
    </row>
    <row r="3" ht="60" customHeight="1">
      <c r="A3" s="6" t="inlineStr">
        <is>
          <t>Cotiviti</t>
        </is>
      </c>
      <c r="B3" s="6" t="inlineStr">
        <is>
          <t>Payer Technology &amp; Claims Management</t>
        </is>
      </c>
      <c r="C3" s="6" t="inlineStr">
        <is>
          <t>Atlanta, GA</t>
        </is>
      </c>
      <c r="D3" s="3" t="inlineStr">
        <is>
          <t>~$1,100 (Est. unverified)</t>
        </is>
      </c>
      <c r="E3" s="3" t="inlineStr">
        <is>
          <t>~$280 (Est. unverified)</t>
        </is>
      </c>
      <c r="F3" s="6" t="inlineStr">
        <is>
          <t>PE-backed (Veritas Capital)</t>
        </is>
      </c>
      <c r="G3" s="6" t="inlineStr">
        <is>
          <t>~8</t>
        </is>
      </c>
      <c r="H3" s="6" t="inlineStr">
        <is>
          <t>PE sponsorship approaching exit</t>
        </is>
      </c>
      <c r="I3" s="6" t="inlineStr">
        <is>
          <t>Veritas-backed since ~2018; completed acquisition of Edifecs (interoperability + coding AI) in March 2025 to build end-to-end payer analytics platform ahead of a likely exit.</t>
        </is>
      </c>
      <c r="J3" s="4" t="n">
        <v>4</v>
      </c>
      <c r="K3" s="6" t="inlineStr">
        <is>
          <t>PE Hub; Edifecs.com Press Release</t>
        </is>
      </c>
      <c r="L3" s="6" t="inlineStr">
        <is>
          <t>Long-dated Veritas hold on $1B+ revenue payer analytics platform post transformative M&amp;A; breadth of payer workflow coverage positions this as a premium secondary buyout at top of target EV range.</t>
        </is>
      </c>
      <c r="M3" s="5" t="inlineStr">
        <is>
          <t>Request CIM</t>
        </is>
      </c>
    </row>
    <row r="4" ht="60" customHeight="1">
      <c r="A4" s="2" t="inlineStr">
        <is>
          <t>NMC AI-RCM Platform
(Access Healthcare + SmarterDx + Thoughtful.ai)</t>
        </is>
      </c>
      <c r="B4" s="2" t="inlineStr">
        <is>
          <t>RCM &amp; Patient Financial Engagement</t>
        </is>
      </c>
      <c r="C4" s="2" t="inlineStr">
        <is>
          <t>Dallas, TX</t>
        </is>
      </c>
      <c r="D4" s="3" t="inlineStr">
        <is>
          <t>~$400 (Est. unverified)</t>
        </is>
      </c>
      <c r="E4" s="3" t="inlineStr">
        <is>
          <t>~$80 (Est. unverified)</t>
        </is>
      </c>
      <c r="F4" s="2" t="inlineStr">
        <is>
          <t>PE-backed (New Mountain Capital)</t>
        </is>
      </c>
      <c r="G4" s="2" t="inlineStr">
        <is>
          <t>~5</t>
        </is>
      </c>
      <c r="H4" s="2" t="inlineStr">
        <is>
          <t>M&amp;A activity</t>
        </is>
      </c>
      <c r="I4" s="2" t="inlineStr">
        <is>
          <t>New Mountain Capital merged three portfolio companies in May 2025 to create an AI-enabled, end-to-end RCM platform combining autonomous coding, AI billing, and tech-enabled services at scale.</t>
        </is>
      </c>
      <c r="J4" s="4" t="n">
        <v>4</v>
      </c>
      <c r="K4" s="2" t="inlineStr">
        <is>
          <t>Fierce Healthcare; NMC Press Release</t>
        </is>
      </c>
      <c r="L4" s="2" t="inlineStr">
        <is>
          <t>PE actively building an AI-RCM platform for exit; 12–18 months post-integration likely to initiate sale process — early outreach advisable to shape process framing.</t>
        </is>
      </c>
      <c r="M4" s="7" t="inlineStr">
        <is>
          <t>Outreach</t>
        </is>
      </c>
    </row>
    <row r="5" ht="60" customHeight="1">
      <c r="A5" s="6" t="inlineStr">
        <is>
          <t>Veradigm (MDRX)</t>
        </is>
      </c>
      <c r="B5" s="6" t="inlineStr">
        <is>
          <t>Healthcare Data &amp; Interoperability</t>
        </is>
      </c>
      <c r="C5" s="6" t="inlineStr">
        <is>
          <t>Chicago, IL</t>
        </is>
      </c>
      <c r="D5" s="6" t="inlineStr">
        <is>
          <t>$720</t>
        </is>
      </c>
      <c r="E5" s="6" t="inlineStr">
        <is>
          <t>$110</t>
        </is>
      </c>
      <c r="F5" s="6" t="inlineStr">
        <is>
          <t>Public (NASDAQ: MDRX)</t>
        </is>
      </c>
      <c r="G5" s="6" t="inlineStr">
        <is>
          <t>N/A</t>
        </is>
      </c>
      <c r="H5" s="6" t="inlineStr">
        <is>
          <t>Strategic hire signals</t>
        </is>
      </c>
      <c r="I5" s="6" t="inlineStr">
        <is>
          <t>New CEO Donald Trigg joined September 2025, driving strategic repositioning of the healthcare data and analytics platform; stock trades at depressed multiples vs. private comps.</t>
        </is>
      </c>
      <c r="J5" s="4" t="n">
        <v>4</v>
      </c>
      <c r="K5" s="6" t="inlineStr">
        <is>
          <t>SEC Form 8-K; PR Newswire</t>
        </is>
      </c>
      <c r="L5" s="6" t="inlineStr">
        <is>
          <t>Public company with $720M revenue, new CEO, and materially depressed public valuation relative to private comps; credible take-private candidate for a sponsor with Healthcare IT platform expertise.</t>
        </is>
      </c>
      <c r="M5" s="8" t="inlineStr">
        <is>
          <t>Monitor</t>
        </is>
      </c>
    </row>
    <row r="6" ht="60" customHeight="1">
      <c r="A6" s="2" t="inlineStr">
        <is>
          <t>Waystar (WAY)</t>
        </is>
      </c>
      <c r="B6" s="2" t="inlineStr">
        <is>
          <t>RCM &amp; Patient Financial Engagement</t>
        </is>
      </c>
      <c r="C6" s="2" t="inlineStr">
        <is>
          <t>Duluth, GA</t>
        </is>
      </c>
      <c r="D6" s="2" t="inlineStr">
        <is>
          <t>$940</t>
        </is>
      </c>
      <c r="E6" s="2" t="inlineStr">
        <is>
          <t>$330</t>
        </is>
      </c>
      <c r="F6" s="2" t="inlineStr">
        <is>
          <t>Public (NASDAQ: WAY)
[EQT / KKR partial owners]</t>
        </is>
      </c>
      <c r="G6" s="2" t="inlineStr">
        <is>
          <t>N/A</t>
        </is>
      </c>
      <c r="H6" s="2" t="inlineStr">
        <is>
          <t>M&amp;A activity</t>
        </is>
      </c>
      <c r="I6" s="2" t="inlineStr">
        <is>
          <t>Acquisition of Iodine Software (AI clinical documentation) announced May 2026 to extend RCM platform; EQT and KKR retain meaningful stakes and are natural exit facilitators.</t>
        </is>
      </c>
      <c r="J6" s="4" t="n">
        <v>4</v>
      </c>
      <c r="K6" s="2" t="inlineStr">
        <is>
          <t>SEC Form 8-K (WAY); Fierce Healthcare</t>
        </is>
      </c>
      <c r="L6" s="2" t="inlineStr">
        <is>
          <t>Leading cloud RCM with $940M revenue, active M&amp;A, and PE-sponsor overhang; monitor for secondary buyout or take-private — EQT/KKR involvement creates potential for a structured exit.</t>
        </is>
      </c>
      <c r="M6" s="8" t="inlineStr">
        <is>
          <t>Monitor</t>
        </is>
      </c>
    </row>
    <row r="7" ht="60" customHeight="1">
      <c r="A7" s="6" t="inlineStr">
        <is>
          <t>Innovaccer</t>
        </is>
      </c>
      <c r="B7" s="6" t="inlineStr">
        <is>
          <t>Population Health &amp; Value-Based Care Analytics</t>
        </is>
      </c>
      <c r="C7" s="6" t="inlineStr">
        <is>
          <t>San Francisco, CA</t>
        </is>
      </c>
      <c r="D7" s="3" t="inlineStr">
        <is>
          <t>~$180 (Est. unverified)</t>
        </is>
      </c>
      <c r="E7" s="3" t="inlineStr">
        <is>
          <t>~$35 (Est. unverified)</t>
        </is>
      </c>
      <c r="F7" s="6" t="inlineStr">
        <is>
          <t>VC-backed (Tiger Global, $675M raised)</t>
        </is>
      </c>
      <c r="G7" s="6" t="inlineStr">
        <is>
          <t>N/A</t>
        </is>
      </c>
      <c r="H7" s="6" t="inlineStr">
        <is>
          <t>Funding rounds</t>
        </is>
      </c>
      <c r="I7" s="6" t="inlineStr">
        <is>
          <t>Raised $275M Series F in January 2025 and has made five acquisitions in 18 months, most recently CaduceusHealth (autonomous RCM) in May 2026 — signaling pre-exit platform assembly.</t>
        </is>
      </c>
      <c r="J7" s="4" t="n">
        <v>4</v>
      </c>
      <c r="K7" s="6" t="inlineStr">
        <is>
          <t>Business Wire; Fierce Healthcare</t>
        </is>
      </c>
      <c r="L7" s="6" t="inlineStr">
        <is>
          <t>Late-stage VC at $675M raised with rapid inorganic expansion into RCM from a population health base; scale and pace of M&amp;A indicates PE sponsor or strategic exit preparation is imminent.</t>
        </is>
      </c>
      <c r="M7" s="5" t="inlineStr">
        <is>
          <t>Request CIM</t>
        </is>
      </c>
    </row>
    <row r="8" ht="60" customHeight="1">
      <c r="A8" s="2" t="inlineStr">
        <is>
          <t>Quantum Health</t>
        </is>
      </c>
      <c r="B8" s="2" t="inlineStr">
        <is>
          <t>Payer Technology &amp; Claims Management</t>
        </is>
      </c>
      <c r="C8" s="2" t="inlineStr">
        <is>
          <t>Dublin, OH</t>
        </is>
      </c>
      <c r="D8" s="3" t="inlineStr">
        <is>
          <t>~$220 (Est. unverified)</t>
        </is>
      </c>
      <c r="E8" s="3" t="inlineStr">
        <is>
          <t>~$40 (Est. unverified)</t>
        </is>
      </c>
      <c r="F8" s="2" t="inlineStr">
        <is>
          <t>PE-backed (undisclosed sponsor)</t>
        </is>
      </c>
      <c r="G8" s="2" t="inlineStr">
        <is>
          <t>~4</t>
        </is>
      </c>
      <c r="H8" s="2" t="inlineStr">
        <is>
          <t>M&amp;A activity</t>
        </is>
      </c>
      <c r="I8" s="2" t="inlineStr">
        <is>
          <t>Acquired CirrusMD in March 2026 to integrate physician-led virtual care into its healthcare navigation and member engagement platform, expanding payer-facing TAM.</t>
        </is>
      </c>
      <c r="J8" s="9" t="n">
        <v>3</v>
      </c>
      <c r="K8" s="2" t="inlineStr">
        <is>
          <t>Healthcare IT Today</t>
        </is>
      </c>
      <c r="L8" s="2" t="inlineStr">
        <is>
          <t>Growing payer navigation platform with active M&amp;A and mid-stage PE hold; return in 6–12 months to assess whether process signals have emerged.</t>
        </is>
      </c>
      <c r="M8" s="8" t="inlineStr">
        <is>
          <t>Monitor</t>
        </is>
      </c>
    </row>
    <row r="9" ht="60" customHeight="1">
      <c r="A9" s="6" t="inlineStr">
        <is>
          <t>Cedar</t>
        </is>
      </c>
      <c r="B9" s="6" t="inlineStr">
        <is>
          <t>RCM &amp; Patient Financial Engagement</t>
        </is>
      </c>
      <c r="C9" s="6" t="inlineStr">
        <is>
          <t>New York, NY</t>
        </is>
      </c>
      <c r="D9" s="3" t="inlineStr">
        <is>
          <t>~$100 (Est. unverified)</t>
        </is>
      </c>
      <c r="E9" s="3" t="inlineStr">
        <is>
          <t>~$15 (Est. unverified)</t>
        </is>
      </c>
      <c r="F9" s="6" t="inlineStr">
        <is>
          <t>VC-backed (Tiger Global; $120M Series C)</t>
        </is>
      </c>
      <c r="G9" s="6" t="inlineStr">
        <is>
          <t>N/A</t>
        </is>
      </c>
      <c r="H9" s="6" t="inlineStr">
        <is>
          <t>Funding rounds</t>
        </is>
      </c>
      <c r="I9" s="6" t="inlineStr">
        <is>
          <t>Raised $120M Series C in February 2025 from Tiger Global; patient financial engagement and price transparency SaaS platform serving 55+ health systems.</t>
        </is>
      </c>
      <c r="J9" s="9" t="n">
        <v>3</v>
      </c>
      <c r="K9" s="6" t="inlineStr">
        <is>
          <t>Fierce Healthcare</t>
        </is>
      </c>
      <c r="L9" s="6" t="inlineStr">
        <is>
          <t>High-quality patient financial engagement SaaS at the lower bound of revenue threshold; $120M round signals pre-exit positioning — monitor for next growth leg before initiating outreach.</t>
        </is>
      </c>
      <c r="M9" s="8" t="inlineStr">
        <is>
          <t>Monitor</t>
        </is>
      </c>
    </row>
    <row r="10" ht="60" customHeight="1">
      <c r="A10" s="2" t="inlineStr">
        <is>
          <t>Arcadia</t>
        </is>
      </c>
      <c r="B10" s="2" t="inlineStr">
        <is>
          <t>Population Health &amp; Value-Based Care Analytics</t>
        </is>
      </c>
      <c r="C10" s="2" t="inlineStr">
        <is>
          <t>Burlington, VT</t>
        </is>
      </c>
      <c r="D10" s="3" t="inlineStr">
        <is>
          <t>~$130 (Est. unverified)</t>
        </is>
      </c>
      <c r="E10" s="3" t="inlineStr">
        <is>
          <t>~$26 (Est. unverified)</t>
        </is>
      </c>
      <c r="F10" s="2" t="inlineStr">
        <is>
          <t>PE-backed (Nordic Capital)</t>
        </is>
      </c>
      <c r="G10" s="2" t="inlineStr">
        <is>
          <t>~1</t>
        </is>
      </c>
      <c r="H10" s="2" t="inlineStr">
        <is>
          <t>PE sponsorship approaching exit</t>
        </is>
      </c>
      <c r="I10" s="2" t="inlineStr">
        <is>
          <t>Nordic Capital acquired Arcadia in July 2025; platform aggregates EHR data from 40+ clinical systems plus claims and SDOH data for population health and VBC analytics.</t>
        </is>
      </c>
      <c r="J10" s="9" t="n">
        <v>3</v>
      </c>
      <c r="K10" s="2" t="inlineStr">
        <is>
          <t>Healthcare IT Today; Nordic Capital</t>
        </is>
      </c>
      <c r="L10" s="2" t="inlineStr">
        <is>
          <t>Fresh Nordic acquisition with a differentiated, multi-EHR population health platform; too early for exit, but monitor for add-on acquisitions or commercial acceleration signals in Q4 2026.</t>
        </is>
      </c>
      <c r="M10" s="8" t="inlineStr">
        <is>
          <t>Monitor</t>
        </is>
      </c>
    </row>
    <row r="11" ht="60" customHeight="1">
      <c r="A11" s="6" t="inlineStr">
        <is>
          <t>Greenway Health</t>
        </is>
      </c>
      <c r="B11" s="6" t="inlineStr">
        <is>
          <t>Clinical Documentation &amp; Coding Automation</t>
        </is>
      </c>
      <c r="C11" s="6" t="inlineStr">
        <is>
          <t>Tampa, FL</t>
        </is>
      </c>
      <c r="D11" s="3" t="inlineStr">
        <is>
          <t>~$175 (Est. unverified)</t>
        </is>
      </c>
      <c r="E11" s="3" t="inlineStr">
        <is>
          <t>~$35 (Est. unverified)</t>
        </is>
      </c>
      <c r="F11" s="6" t="inlineStr">
        <is>
          <t>PE-backed (Francisco Partners, Est. unverified)</t>
        </is>
      </c>
      <c r="G11" s="6" t="inlineStr">
        <is>
          <t>~4</t>
        </is>
      </c>
      <c r="H11" s="6" t="inlineStr">
        <is>
          <t>Industry awards / rankings</t>
        </is>
      </c>
      <c r="I11" s="6" t="inlineStr">
        <is>
          <t>Named Most Improved vendor in Best in KLAS 2026 for EHR and practice management; highest percentage score increase YoY, signaling product investment and customer recovery.</t>
        </is>
      </c>
      <c r="J11" s="9" t="n">
        <v>3</v>
      </c>
      <c r="K11" s="6" t="inlineStr">
        <is>
          <t>KLAS Research 2026</t>
        </is>
      </c>
      <c r="L11" s="6" t="inlineStr">
        <is>
          <t>PE-backed EHR and clinical documentation vendor showing meaningful quality recovery; adjacent to core mandate — monitor for proof of sustained NRR improvement before elevating to CIM stage.</t>
        </is>
      </c>
      <c r="M11" s="8" t="inlineStr">
        <is>
          <t>Monitor</t>
        </is>
      </c>
    </row>
    <row r="12" ht="60" customHeight="1">
      <c r="A12" s="2" t="inlineStr">
        <is>
          <t>TeleVox</t>
        </is>
      </c>
      <c r="B12" s="2" t="inlineStr">
        <is>
          <t>Patient Access, Scheduling &amp; Price Transparency</t>
        </is>
      </c>
      <c r="C12" s="2" t="inlineStr">
        <is>
          <t>Mobile, AL</t>
        </is>
      </c>
      <c r="D12" s="3" t="inlineStr">
        <is>
          <t>~$85 (Est. unverified)</t>
        </is>
      </c>
      <c r="E12" s="3" t="inlineStr">
        <is>
          <t>~$17 (Est. unverified)</t>
        </is>
      </c>
      <c r="F12" s="2" t="inlineStr">
        <is>
          <t>PE-backed (West Technology Group, Est. unverified)</t>
        </is>
      </c>
      <c r="G12" s="2" t="inlineStr">
        <is>
          <t>~3</t>
        </is>
      </c>
      <c r="H12" s="2" t="inlineStr">
        <is>
          <t>Industry awards / rankings</t>
        </is>
      </c>
      <c r="I12" s="2" t="inlineStr">
        <is>
          <t>Named Most Improved vendor in Best in KLAS 2026 for patient engagement; significant YoY improvement in client satisfaction scores across patient outreach and scheduling workflows.</t>
        </is>
      </c>
      <c r="J12" s="9" t="n">
        <v>3</v>
      </c>
      <c r="K12" s="2" t="inlineStr">
        <is>
          <t>KLAS Research 2026</t>
        </is>
      </c>
      <c r="L12" s="2" t="inlineStr">
        <is>
          <t>Patient engagement SaaS with positive momentum; at the lower end of revenue threshold — flag for re-evaluation if revenue crosses $100M, which would warrant outreach.</t>
        </is>
      </c>
      <c r="M12" s="8" t="inlineStr">
        <is>
          <t>Monitor</t>
        </is>
      </c>
    </row>
    <row r="13" ht="60" customHeight="1">
      <c r="A13" s="6" t="inlineStr">
        <is>
          <t>Onyx Health</t>
        </is>
      </c>
      <c r="B13" s="6" t="inlineStr">
        <is>
          <t>Healthcare Data &amp; Interoperability</t>
        </is>
      </c>
      <c r="C13" s="6" t="inlineStr">
        <is>
          <t>Chicago, IL</t>
        </is>
      </c>
      <c r="D13" s="3" t="inlineStr">
        <is>
          <t>~$75 (Est. unverified)</t>
        </is>
      </c>
      <c r="E13" s="3" t="inlineStr">
        <is>
          <t>~$12 (Est. unverified)</t>
        </is>
      </c>
      <c r="F13" s="6" t="inlineStr">
        <is>
          <t>VC-backed</t>
        </is>
      </c>
      <c r="G13" s="6" t="inlineStr">
        <is>
          <t>N/A</t>
        </is>
      </c>
      <c r="H13" s="6" t="inlineStr">
        <is>
          <t>M&amp;A activity</t>
        </is>
      </c>
      <c r="I13" s="6" t="inlineStr">
        <is>
          <t>Acquired InteropX in February 2026 to accelerate electronic prior auth and large-scale payer data exchange on its CMS interoperability platform.</t>
        </is>
      </c>
      <c r="J13" s="9" t="n">
        <v>3</v>
      </c>
      <c r="K13" s="6" t="inlineStr">
        <is>
          <t>Healthcare IT Today</t>
        </is>
      </c>
      <c r="L13" s="6" t="inlineStr">
        <is>
          <t>CMS interoperability platform growing via bolt-on M&amp;A; currently below revenue mandate threshold — recommend re-evaluation in 6 months as payer interoperability regulation tailwinds drive growth.</t>
        </is>
      </c>
      <c r="M13" s="8" t="inlineStr">
        <is>
          <t>Monitor</t>
        </is>
      </c>
    </row>
    <row r="14">
      <c r="A14" s="10" t="inlineStr">
        <is>
          <t>Confidential | Morsebridge Healthcare | For Internal Use Only</t>
        </is>
      </c>
    </row>
  </sheetData>
  <autoFilter ref="A1:M1"/>
  <mergeCells count="1">
    <mergeCell ref="A14:M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  <col width="20" customWidth="1" min="3" max="3"/>
  </cols>
  <sheetData>
    <row r="1" ht="28" customHeight="1">
      <c r="A1" s="11" t="inlineStr">
        <is>
          <t>DEAL SOURCING — WEEKLY WATCHLIST SUMMARY</t>
        </is>
      </c>
      <c r="B1" s="12" t="n"/>
      <c r="C1" s="13" t="n"/>
    </row>
    <row r="2">
      <c r="A2" s="14" t="inlineStr">
        <is>
          <t>Report Date</t>
        </is>
      </c>
      <c r="B2" s="15" t="inlineStr">
        <is>
          <t>June 5, 2026</t>
        </is>
      </c>
    </row>
    <row r="3">
      <c r="A3" s="14" t="inlineStr">
        <is>
          <t>Total Companies on Watchlist</t>
        </is>
      </c>
      <c r="B3" s="15">
        <f>COUNTA(Watchlist!A2:A13)</f>
        <v/>
      </c>
    </row>
    <row r="4">
      <c r="A4" s="14" t="inlineStr">
        <is>
          <t>Companies Recommended: Request CIM</t>
        </is>
      </c>
      <c r="B4" s="15">
        <f>COUNTIF(Watchlist!M2:M13,"Request CIM")</f>
        <v/>
      </c>
    </row>
    <row r="5">
      <c r="A5" s="14" t="inlineStr">
        <is>
          <t>Companies Recommended: Outreach</t>
        </is>
      </c>
      <c r="B5" s="15">
        <f>COUNTIF(Watchlist!M2:M13,"Outreach")</f>
        <v/>
      </c>
    </row>
    <row r="6">
      <c r="A6" s="14" t="inlineStr">
        <is>
          <t>Companies Recommended: Monitor</t>
        </is>
      </c>
      <c r="B6" s="15">
        <f>COUNTIF(Watchlist!M2:M13,"Monitor")</f>
        <v/>
      </c>
    </row>
    <row r="7">
      <c r="A7" s="14" t="inlineStr">
        <is>
          <t>Analyst</t>
        </is>
      </c>
      <c r="B7" s="15" t="inlineStr">
        <is>
          <t>Abdullah (abdullah@morsebridge.com)</t>
        </is>
      </c>
    </row>
    <row r="8">
      <c r="A8" s="14" t="inlineStr">
        <is>
          <t>Prior Watchlist on File</t>
        </is>
      </c>
      <c r="B8" s="15" t="inlineStr">
        <is>
          <t>None (first report in series)</t>
        </is>
      </c>
    </row>
    <row r="10" ht="24" customHeight="1">
      <c r="A10" s="11" t="inlineStr">
        <is>
          <t>BREAKDOWN BY SUB-SECTOR</t>
        </is>
      </c>
      <c r="B10" s="12" t="n"/>
      <c r="C10" s="13" t="n"/>
    </row>
    <row r="11">
      <c r="A11" s="14" t="inlineStr">
        <is>
          <t>Sub-Sector</t>
        </is>
      </c>
      <c r="B11" s="14" t="inlineStr">
        <is>
          <t>Company Count</t>
        </is>
      </c>
    </row>
    <row r="12">
      <c r="A12" s="16" t="inlineStr">
        <is>
          <t>RCM &amp; Patient Financial Engagement</t>
        </is>
      </c>
      <c r="B12" s="17" t="n">
        <v>3</v>
      </c>
    </row>
    <row r="13">
      <c r="A13" s="16" t="inlineStr">
        <is>
          <t>Payer Technology &amp; Claims Management</t>
        </is>
      </c>
      <c r="B13" s="17" t="n">
        <v>2</v>
      </c>
    </row>
    <row r="14">
      <c r="A14" s="16" t="inlineStr">
        <is>
          <t>Population Health &amp; Value-Based Care Analytics</t>
        </is>
      </c>
      <c r="B14" s="17" t="n">
        <v>2</v>
      </c>
    </row>
    <row r="15">
      <c r="A15" s="16" t="inlineStr">
        <is>
          <t>Healthcare Data &amp; Interoperability</t>
        </is>
      </c>
      <c r="B15" s="17" t="n">
        <v>2</v>
      </c>
    </row>
    <row r="16">
      <c r="A16" s="16" t="inlineStr">
        <is>
          <t>Healthcare Workforce &amp; Scheduling Technology</t>
        </is>
      </c>
      <c r="B16" s="17" t="n">
        <v>1</v>
      </c>
    </row>
    <row r="17">
      <c r="A17" s="16" t="inlineStr">
        <is>
          <t>Clinical Documentation &amp; Coding Automation</t>
        </is>
      </c>
      <c r="B17" s="17" t="n">
        <v>1</v>
      </c>
    </row>
    <row r="18">
      <c r="A18" s="16" t="inlineStr">
        <is>
          <t>Patient Access, Scheduling &amp; Price Transparency</t>
        </is>
      </c>
      <c r="B18" s="17" t="n">
        <v>1</v>
      </c>
    </row>
    <row r="21" ht="24" customHeight="1">
      <c r="A21" s="11" t="inlineStr">
        <is>
          <t>BREAKDOWN BY SIGNAL TYPE</t>
        </is>
      </c>
      <c r="B21" s="12" t="n"/>
      <c r="C21" s="13" t="n"/>
    </row>
    <row r="22">
      <c r="A22" s="14" t="inlineStr">
        <is>
          <t>Signal Type</t>
        </is>
      </c>
      <c r="B22" s="14" t="inlineStr">
        <is>
          <t>Company Count</t>
        </is>
      </c>
    </row>
    <row r="23">
      <c r="A23" s="16" t="inlineStr">
        <is>
          <t>PE sponsorship approaching exit</t>
        </is>
      </c>
      <c r="B23" s="17" t="n">
        <v>3</v>
      </c>
    </row>
    <row r="24">
      <c r="A24" s="16" t="inlineStr">
        <is>
          <t>M&amp;A activity</t>
        </is>
      </c>
      <c r="B24" s="17" t="n">
        <v>4</v>
      </c>
    </row>
    <row r="25">
      <c r="A25" s="16" t="inlineStr">
        <is>
          <t>Funding rounds</t>
        </is>
      </c>
      <c r="B25" s="17" t="n">
        <v>2</v>
      </c>
    </row>
    <row r="26">
      <c r="A26" s="16" t="inlineStr">
        <is>
          <t>C-suite hire signals</t>
        </is>
      </c>
      <c r="B26" s="17" t="n">
        <v>1</v>
      </c>
    </row>
    <row r="27">
      <c r="A27" s="16" t="inlineStr">
        <is>
          <t>Industry awards / rankings</t>
        </is>
      </c>
      <c r="B27" s="17" t="n">
        <v>2</v>
      </c>
    </row>
    <row r="30" ht="24" customHeight="1">
      <c r="A30" s="11" t="inlineStr">
        <is>
          <t>TOP 3 COMPANIES RECOMMENDED FOR OUTREACH THIS WEEK</t>
        </is>
      </c>
      <c r="B30" s="12" t="n"/>
      <c r="C30" s="13" t="n"/>
    </row>
    <row r="31">
      <c r="A31" s="14" t="inlineStr">
        <is>
          <t>Company / Action</t>
        </is>
      </c>
      <c r="B31" s="14" t="inlineStr">
        <is>
          <t>Rationale</t>
        </is>
      </c>
    </row>
    <row r="32" ht="55" customHeight="1">
      <c r="A32" s="18" t="inlineStr">
        <is>
          <t>1. symplr (Request CIM)</t>
        </is>
      </c>
      <c r="B32" s="15" t="inlineStr">
        <is>
          <t>Clearlake's 8-year hold combined with a CEO transition in April 2026 and a fully built healthcare operations platform represents the most actionable exit signal in this week's screen; recommend immediate CIM request.</t>
        </is>
      </c>
    </row>
    <row r="33" ht="55" customHeight="1">
      <c r="A33" s="18" t="inlineStr">
        <is>
          <t>2. Cotiviti (Request CIM)</t>
        </is>
      </c>
      <c r="B33" s="15" t="inlineStr">
        <is>
          <t>Veritas Capital's ~8-year hold on a $1B+ payer analytics platform, freshly augmented by the Edifecs acquisition, fits the fund's sweet spot precisely — initiate CIM request before a formal process is launched.</t>
        </is>
      </c>
    </row>
    <row r="34" ht="55" customHeight="1">
      <c r="A34" s="18" t="inlineStr">
        <is>
          <t>3. NMC AI-RCM Platform (Outreach)</t>
        </is>
      </c>
      <c r="B34" s="15" t="inlineStr">
        <is>
          <t>New Mountain Capital has assembled a differentiated AI-RCM platform through a three-way merger; early outreach ahead of a formal sale process would establish Morsebridge as preferred buyer and allow proprietary access.</t>
        </is>
      </c>
    </row>
    <row r="36">
      <c r="A36" s="10" t="inlineStr">
        <is>
          <t>Confidential | Morsebridge Healthcare | For Internal Use Only</t>
        </is>
      </c>
    </row>
  </sheetData>
  <mergeCells count="5">
    <mergeCell ref="A10:C10"/>
    <mergeCell ref="A36:C36"/>
    <mergeCell ref="A1:C1"/>
    <mergeCell ref="A30:C30"/>
    <mergeCell ref="A21:C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2026-06-05T12:03:25Z</dcterms:created>
  <dcterms:modified xmlns:dcterms="http://purl.org/dc/terms/" xmlns:xsi="http://www.w3.org/2001/XMLSchema-instance" xsi:type="dcterms:W3CDTF">2026-06-05T12:03:25Z</dcterms:modified>
</cp:coreProperties>
</file>