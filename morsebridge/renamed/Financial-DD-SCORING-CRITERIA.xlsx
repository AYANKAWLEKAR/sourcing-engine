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D Scor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<sst xmlns="http://schemas.openxmlformats.org/spreadsheetml/2006/main" count="99" uniqueCount="94">
  <si>
    <t xml:space="preserve">FINANCIAL DD — Scoring Criteria | Morsebridge Healthcare</t>
  </si>
  <si>
    <t xml:space="preserve">#</t>
  </si>
  <si>
    <t xml:space="preserve">Criterion</t>
  </si>
  <si>
    <t xml:space="preserve">Weight</t>
  </si>
  <si>
    <t xml:space="preserve">Score (1-5)
Enter Here</t>
  </si>
  <si>
    <t xml:space="preserve">Weighted Score</t>
  </si>
  <si>
    <t xml:space="preserve">Score 5 (Exceptional)</t>
  </si>
  <si>
    <t xml:space="preserve">Score 3 (Adequate)</t>
  </si>
  <si>
    <t xml:space="preserve">Score 1 (Critical)</t>
  </si>
  <si>
    <t xml:space="preserve">REVENUE QUALITY</t>
  </si>
  <si>
    <t xml:space="preserve">Recurring Revenue Mix</t>
  </si>
  <si>
    <t xml:space="preserve">80%+ recurring. Fully contracted ARR. Backlog covers 90%+ of plan.</t>
  </si>
  <si>
    <t xml:space="preserve">65-79% recurring. Mix of annual and multi-year.</t>
  </si>
  <si>
    <t xml:space="preserve">Below 65% recurring. High transactional or project exposure.</t>
  </si>
  <si>
    <t xml:space="preserve">NRR Trend</t>
  </si>
  <si>
    <t xml:space="preserve">NRR 110%+. Improving or stable over 3 years.</t>
  </si>
  <si>
    <t xml:space="preserve">NRR 100-109%. Stable.</t>
  </si>
  <si>
    <t xml:space="preserve">NRR below 95% or declining trend over 3 years.</t>
  </si>
  <si>
    <t xml:space="preserve">Revenue Concentration</t>
  </si>
  <si>
    <t xml:space="preserve">Top client below 5%. Top 10 below 25%.</t>
  </si>
  <si>
    <t xml:space="preserve">Top client 5-15%. Top 10 25-40%.</t>
  </si>
  <si>
    <t xml:space="preserve">Top client above 20% or top 10 above 50%.</t>
  </si>
  <si>
    <t xml:space="preserve">MARGIN &amp; COST STRUCTURE</t>
  </si>
  <si>
    <t xml:space="preserve">EBITDA Margin Level and Trend</t>
  </si>
  <si>
    <t xml:space="preserve">Margin 30%+. Expanding over 3 years. Clear path to 35%+.</t>
  </si>
  <si>
    <t xml:space="preserve">Margin 20-29%. Stable or modestly improving.</t>
  </si>
  <si>
    <t xml:space="preserve">Margin below 20% or compressing over 3 years.</t>
  </si>
  <si>
    <t xml:space="preserve">Gross Margin Quality</t>
  </si>
  <si>
    <t xml:space="preserve">Gross margin 60%+. Best-in-class for HCIT platform.</t>
  </si>
  <si>
    <t xml:space="preserve">Gross margin 50-59%. In line with HCIT managed services peers.</t>
  </si>
  <si>
    <t xml:space="preserve">Gross margin below 50%. Services-heavy cost structure.</t>
  </si>
  <si>
    <t xml:space="preserve">Quality of Earnings</t>
  </si>
  <si>
    <t xml:space="preserve">Minimal add-backs (&lt;5% of EBITDA). Clean, recurring earnings base.</t>
  </si>
  <si>
    <t xml:space="preserve">Moderate add-backs (5-15%). Common for PE-backed platform.</t>
  </si>
  <si>
    <t xml:space="preserve">Material add-backs (&gt;15%). EBITDA quality questionable.</t>
  </si>
  <si>
    <t xml:space="preserve">LEVERAGE &amp; DEBT</t>
  </si>
  <si>
    <t xml:space="preserve">Entry Leverage</t>
  </si>
  <si>
    <t xml:space="preserve">Net Debt / EBITDA below 4.0x. Conservative and flexible.</t>
  </si>
  <si>
    <t xml:space="preserve">Net Debt / EBITDA 4.0-5.5x. Acceptable for HCIT platform.</t>
  </si>
  <si>
    <t xml:space="preserve">Net Debt / EBITDA above 6.0x. Triggers hard gate.</t>
  </si>
  <si>
    <t xml:space="preserve">Covenant Headroom</t>
  </si>
  <si>
    <t xml:space="preserve">Bear case EBITDA 30%+ above covenant floor. Significant headroom.</t>
  </si>
  <si>
    <t xml:space="preserve">Bear case EBITDA 10-29% above covenant. Manageable.</t>
  </si>
  <si>
    <t xml:space="preserve">Bear case EBITDA at or below covenant floor. Triggers hard gate.</t>
  </si>
  <si>
    <t xml:space="preserve">Interest Coverage</t>
  </si>
  <si>
    <t xml:space="preserve">Interest coverage 4x+. Comfortable debt service.</t>
  </si>
  <si>
    <t xml:space="preserve">Interest coverage 2.5-3.9x. Adequate.</t>
  </si>
  <si>
    <t xml:space="preserve">Interest coverage below 2.0x. Debt service stressed.</t>
  </si>
  <si>
    <t xml:space="preserve">RETURNS ANALYSIS</t>
  </si>
  <si>
    <t xml:space="preserve">Base Case MOIC</t>
  </si>
  <si>
    <t xml:space="preserve">Base case MOIC 3.0x+. Clear path to return target.</t>
  </si>
  <si>
    <t xml:space="preserve">Base case MOIC 2.0-2.9x. Acceptable but tight.</t>
  </si>
  <si>
    <t xml:space="preserve">Base case MOIC below 2.0x. Does not meet mandate.</t>
  </si>
  <si>
    <t xml:space="preserve">Bear Case IRR</t>
  </si>
  <si>
    <t xml:space="preserve">Bear case IRR 20%+. Returns hold even in stress scenario.</t>
  </si>
  <si>
    <t xml:space="preserve">Bear case IRR 15-19%. Acceptable with risk mitigants.</t>
  </si>
  <si>
    <t xml:space="preserve">Bear case IRR below 15%. Triggers hard gate.</t>
  </si>
  <si>
    <t xml:space="preserve">TOTAL WEIGHTED SCORE</t>
  </si>
  <si>
    <t xml:space="preserve">Max score = 100</t>
  </si>
  <si>
    <t xml:space="preserve">SCORE INTERPRETATION</t>
  </si>
  <si>
    <t xml:space="preserve">80-100</t>
  </si>
  <si>
    <t xml:space="preserve">Strong Proceed</t>
  </si>
  <si>
    <t xml:space="preserve">High conviction. Recommend proceeding to next stage without conditions.</t>
  </si>
  <si>
    <t xml:space="preserve">65-79</t>
  </si>
  <si>
    <t xml:space="preserve">Conditional Proceed</t>
  </si>
  <si>
    <t xml:space="preserve">Proceed with identified conditions to be resolved before investment approval.</t>
  </si>
  <si>
    <t xml:space="preserve">Below 65</t>
  </si>
  <si>
    <t xml:space="preserve">Pass</t>
  </si>
  <si>
    <t xml:space="preserve">Material concerns. Do not proceed without significant new information.</t>
  </si>
  <si>
    <t xml:space="preserve">HARD GATE FLAGS</t>
  </si>
  <si>
    <t xml:space="preserve">⚠</t>
  </si>
  <si>
    <t xml:space="preserve">Revenue declining YoY in any historical period</t>
  </si>
  <si>
    <t xml:space="preserve">Hard gate. HOLD pending management explanation.</t>
  </si>
  <si>
    <t xml:space="preserve">EBITDA margin below 20% (most recent year)</t>
  </si>
  <si>
    <t xml:space="preserve">Hard gate. Below Morsebridge minimum threshold.</t>
  </si>
  <si>
    <t xml:space="preserve">Net Debt / EBITDA above 6.0x at entry</t>
  </si>
  <si>
    <t xml:space="preserve">Hard gate. Leverage exceeds covenant and mandate.</t>
  </si>
  <si>
    <t xml:space="preserve">Bear case EBITDA below covenant floor</t>
  </si>
  <si>
    <t xml:space="preserve">Hard gate. Covenant breach risk in downside.</t>
  </si>
  <si>
    <t xml:space="preserve">Bear case IRR below 15%</t>
  </si>
  <si>
    <t xml:space="preserve">Hard gate. Returns insufficient even with upside.</t>
  </si>
  <si>
    <t xml:space="preserve">FCF negative in any projected year</t>
  </si>
  <si>
    <t xml:space="preserve">Hard gate. Cash generation insufficient to service debt.</t>
  </si>
  <si>
    <t xml:space="preserve">SCORING GUIDE</t>
  </si>
  <si>
    <t xml:space="preserve">Exceptional</t>
  </si>
  <si>
    <t xml:space="preserve">Materially exceeds threshold. Clear competitive advantage or very low risk.</t>
  </si>
  <si>
    <t xml:space="preserve">Strong</t>
  </si>
  <si>
    <t xml:space="preserve">Above threshold. Minor concerns only, well mitigated.</t>
  </si>
  <si>
    <t xml:space="preserve">Adequate</t>
  </si>
  <si>
    <t xml:space="preserve">Meets minimum threshold. Some concerns present but manageable.</t>
  </si>
  <si>
    <t xml:space="preserve">Weak</t>
  </si>
  <si>
    <t xml:space="preserve">Below threshold. Significant concern requiring active management.</t>
  </si>
  <si>
    <t xml:space="preserve">Critical</t>
  </si>
  <si>
    <t xml:space="preserve">Fails threshold. Material risk or disqualifying issue.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</si>
</sst>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70AD47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3A5C"/>
        <bgColor rgb="FF333333"/>
      </patternFill>
    </fill>
    <fill>
      <patternFill patternType="solid">
        <fgColor rgb="FF2E6DB4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CCCCCC"/>
      </patternFill>
    </fill>
    <fill>
      <patternFill patternType="solid">
        <fgColor rgb="FF1E7E34"/>
        <bgColor rgb="FF339966"/>
      </patternFill>
    </fill>
    <fill>
      <patternFill patternType="solid">
        <fgColor rgb="FF70AD47"/>
        <bgColor rgb="FF339966"/>
      </patternFill>
    </fill>
    <fill>
      <patternFill patternType="solid">
        <fgColor rgb="FF9C5700"/>
        <bgColor rgb="FF808000"/>
      </patternFill>
    </fill>
    <fill>
      <patternFill patternType="solid">
        <fgColor rgb="FF9C0006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7E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6DB4"/>
      <rgbColor rgb="FF33CCCC"/>
      <rgbColor rgb="FF99CC00"/>
      <rgbColor rgb="FFFFCC00"/>
      <rgbColor rgb="FFFF9900"/>
      <rgbColor rgb="FFFF6600"/>
      <rgbColor rgb="FF666699"/>
      <rgbColor rgb="FF70AD47"/>
      <rgbColor rgb="FF1B3A5C"/>
      <rgbColor rgb="FF339966"/>
      <rgbColor rgb="FF0D1B2A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0"/>
    <col collapsed="false" customWidth="true" hidden="false" outlineLevel="0" max="5" min="4" style="1" width="12"/>
    <col collapsed="false" customWidth="true" hidden="false" outlineLevel="0" max="8" min="6" style="1" width="2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30" hidden="false" customHeight="true" outlineLevel="0" collapsed="false">
      <c r="A3" s="3" t="s">
        <v>1</v>
      </c>
      <c r="B3" s="4" t="s">
        <v>2</v>
      </c>
      <c r="C3" s="3" t="s">
        <v>3</v>
      </c>
      <c r="D3" s="5" t="s">
        <v>4</v>
      </c>
      <c r="E3" s="3" t="s">
        <v>5</v>
      </c>
      <c r="F3" s="4" t="s">
        <v>6</v>
      </c>
      <c r="G3" s="4" t="s">
        <v>7</v>
      </c>
      <c r="H3" s="4" t="s">
        <v>8</v>
      </c>
    </row>
    <row r="4" customFormat="false" ht="19.5" hidden="false" customHeight="true" outlineLevel="0" collapsed="false">
      <c r="A4" s="6" t="s">
        <v>9</v>
      </c>
      <c r="B4" s="6"/>
      <c r="C4" s="6"/>
      <c r="D4" s="6"/>
      <c r="E4" s="6"/>
      <c r="F4" s="6"/>
      <c r="G4" s="6"/>
      <c r="H4" s="6"/>
    </row>
    <row r="5" customFormat="false" ht="39.75" hidden="false" customHeight="true" outlineLevel="0" collapsed="false">
      <c r="A5" s="7" t="n">
        <v>1</v>
      </c>
      <c r="B5" s="8" t="s">
        <v>10</v>
      </c>
      <c r="C5" s="9" t="n">
        <v>0.12</v>
      </c>
      <c r="D5" s="10"/>
      <c r="E5" s="11" t="str">
        <f aca="false">IF(ISNUMBER(D5),D5*C5,"")</f>
        <v/>
      </c>
      <c r="F5" s="12" t="s">
        <v>11</v>
      </c>
      <c r="G5" s="13" t="s">
        <v>12</v>
      </c>
      <c r="H5" s="14" t="s">
        <v>13</v>
      </c>
    </row>
    <row r="6" customFormat="false" ht="39.75" hidden="false" customHeight="true" outlineLevel="0" collapsed="false">
      <c r="A6" s="7" t="n">
        <v>2</v>
      </c>
      <c r="B6" s="8" t="s">
        <v>14</v>
      </c>
      <c r="C6" s="9" t="n">
        <v>0.1</v>
      </c>
      <c r="D6" s="10"/>
      <c r="E6" s="11" t="str">
        <f aca="false">IF(ISNUMBER(D6),D6*C6,"")</f>
        <v/>
      </c>
      <c r="F6" s="12" t="s">
        <v>15</v>
      </c>
      <c r="G6" s="13" t="s">
        <v>16</v>
      </c>
      <c r="H6" s="14" t="s">
        <v>17</v>
      </c>
    </row>
    <row r="7" customFormat="false" ht="39.75" hidden="false" customHeight="true" outlineLevel="0" collapsed="false">
      <c r="A7" s="7" t="n">
        <v>3</v>
      </c>
      <c r="B7" s="8" t="s">
        <v>18</v>
      </c>
      <c r="C7" s="9" t="n">
        <v>0.08</v>
      </c>
      <c r="D7" s="10"/>
      <c r="E7" s="11" t="str">
        <f aca="false">IF(ISNUMBER(D7),D7*C7,"")</f>
        <v/>
      </c>
      <c r="F7" s="12" t="s">
        <v>19</v>
      </c>
      <c r="G7" s="13" t="s">
        <v>20</v>
      </c>
      <c r="H7" s="14" t="s">
        <v>21</v>
      </c>
    </row>
    <row r="8" customFormat="false" ht="19.5" hidden="false" customHeight="true" outlineLevel="0" collapsed="false">
      <c r="A8" s="6" t="s">
        <v>22</v>
      </c>
      <c r="B8" s="6"/>
      <c r="C8" s="6"/>
      <c r="D8" s="6"/>
      <c r="E8" s="6"/>
      <c r="F8" s="6"/>
      <c r="G8" s="6"/>
      <c r="H8" s="6"/>
    </row>
    <row r="9" customFormat="false" ht="39.75" hidden="false" customHeight="true" outlineLevel="0" collapsed="false">
      <c r="A9" s="7" t="n">
        <v>4</v>
      </c>
      <c r="B9" s="8" t="s">
        <v>23</v>
      </c>
      <c r="C9" s="9" t="n">
        <v>0.12</v>
      </c>
      <c r="D9" s="10"/>
      <c r="E9" s="11" t="str">
        <f aca="false">IF(ISNUMBER(D9),D9*C9,"")</f>
        <v/>
      </c>
      <c r="F9" s="12" t="s">
        <v>24</v>
      </c>
      <c r="G9" s="13" t="s">
        <v>25</v>
      </c>
      <c r="H9" s="14" t="s">
        <v>26</v>
      </c>
    </row>
    <row r="10" customFormat="false" ht="39.75" hidden="false" customHeight="true" outlineLevel="0" collapsed="false">
      <c r="A10" s="7" t="n">
        <v>5</v>
      </c>
      <c r="B10" s="8" t="s">
        <v>27</v>
      </c>
      <c r="C10" s="9" t="n">
        <v>0.08</v>
      </c>
      <c r="D10" s="10"/>
      <c r="E10" s="11" t="str">
        <f aca="false">IF(ISNUMBER(D10),D10*C10,"")</f>
        <v/>
      </c>
      <c r="F10" s="12" t="s">
        <v>28</v>
      </c>
      <c r="G10" s="13" t="s">
        <v>29</v>
      </c>
      <c r="H10" s="14" t="s">
        <v>30</v>
      </c>
    </row>
    <row r="11" customFormat="false" ht="39.75" hidden="false" customHeight="true" outlineLevel="0" collapsed="false">
      <c r="A11" s="7" t="n">
        <v>6</v>
      </c>
      <c r="B11" s="8" t="s">
        <v>31</v>
      </c>
      <c r="C11" s="9" t="n">
        <v>0.08</v>
      </c>
      <c r="D11" s="10"/>
      <c r="E11" s="11" t="str">
        <f aca="false">IF(ISNUMBER(D11),D11*C11,"")</f>
        <v/>
      </c>
      <c r="F11" s="12" t="s">
        <v>32</v>
      </c>
      <c r="G11" s="13" t="s">
        <v>33</v>
      </c>
      <c r="H11" s="14" t="s">
        <v>34</v>
      </c>
    </row>
    <row r="12" customFormat="false" ht="19.5" hidden="false" customHeight="true" outlineLevel="0" collapsed="false">
      <c r="A12" s="6" t="s">
        <v>35</v>
      </c>
      <c r="B12" s="6"/>
      <c r="C12" s="6"/>
      <c r="D12" s="6"/>
      <c r="E12" s="6"/>
      <c r="F12" s="6"/>
      <c r="G12" s="6"/>
      <c r="H12" s="6"/>
    </row>
    <row r="13" customFormat="false" ht="39.75" hidden="false" customHeight="true" outlineLevel="0" collapsed="false">
      <c r="A13" s="7" t="n">
        <v>7</v>
      </c>
      <c r="B13" s="8" t="s">
        <v>36</v>
      </c>
      <c r="C13" s="9" t="n">
        <v>0.1</v>
      </c>
      <c r="D13" s="10"/>
      <c r="E13" s="11" t="str">
        <f aca="false">IF(ISNUMBER(D13),D13*C13,"")</f>
        <v/>
      </c>
      <c r="F13" s="12" t="s">
        <v>37</v>
      </c>
      <c r="G13" s="13" t="s">
        <v>38</v>
      </c>
      <c r="H13" s="14" t="s">
        <v>39</v>
      </c>
    </row>
    <row r="14" customFormat="false" ht="39.75" hidden="false" customHeight="true" outlineLevel="0" collapsed="false">
      <c r="A14" s="7" t="n">
        <v>8</v>
      </c>
      <c r="B14" s="8" t="s">
        <v>40</v>
      </c>
      <c r="C14" s="9" t="n">
        <v>0.08</v>
      </c>
      <c r="D14" s="10"/>
      <c r="E14" s="11" t="str">
        <f aca="false">IF(ISNUMBER(D14),D14*C14,"")</f>
        <v/>
      </c>
      <c r="F14" s="12" t="s">
        <v>41</v>
      </c>
      <c r="G14" s="13" t="s">
        <v>42</v>
      </c>
      <c r="H14" s="14" t="s">
        <v>43</v>
      </c>
    </row>
    <row r="15" customFormat="false" ht="39.75" hidden="false" customHeight="true" outlineLevel="0" collapsed="false">
      <c r="A15" s="7" t="n">
        <v>9</v>
      </c>
      <c r="B15" s="8" t="s">
        <v>44</v>
      </c>
      <c r="C15" s="9" t="n">
        <v>0.07</v>
      </c>
      <c r="D15" s="10"/>
      <c r="E15" s="11" t="str">
        <f aca="false">IF(ISNUMBER(D15),D15*C15,"")</f>
        <v/>
      </c>
      <c r="F15" s="12" t="s">
        <v>45</v>
      </c>
      <c r="G15" s="13" t="s">
        <v>46</v>
      </c>
      <c r="H15" s="14" t="s">
        <v>47</v>
      </c>
    </row>
    <row r="16" customFormat="false" ht="19.5" hidden="false" customHeight="true" outlineLevel="0" collapsed="false">
      <c r="A16" s="6" t="s">
        <v>48</v>
      </c>
      <c r="B16" s="6"/>
      <c r="C16" s="6"/>
      <c r="D16" s="6"/>
      <c r="E16" s="6"/>
      <c r="F16" s="6"/>
      <c r="G16" s="6"/>
      <c r="H16" s="6"/>
    </row>
    <row r="17" customFormat="false" ht="39.75" hidden="false" customHeight="true" outlineLevel="0" collapsed="false">
      <c r="A17" s="7" t="n">
        <v>10</v>
      </c>
      <c r="B17" s="8" t="s">
        <v>49</v>
      </c>
      <c r="C17" s="9" t="n">
        <v>0.1</v>
      </c>
      <c r="D17" s="10"/>
      <c r="E17" s="11" t="str">
        <f aca="false">IF(ISNUMBER(D17),D17*C17,"")</f>
        <v/>
      </c>
      <c r="F17" s="12" t="s">
        <v>50</v>
      </c>
      <c r="G17" s="13" t="s">
        <v>51</v>
      </c>
      <c r="H17" s="14" t="s">
        <v>52</v>
      </c>
    </row>
    <row r="18" customFormat="false" ht="39.75" hidden="false" customHeight="true" outlineLevel="0" collapsed="false">
      <c r="A18" s="7" t="n">
        <v>11</v>
      </c>
      <c r="B18" s="8" t="s">
        <v>53</v>
      </c>
      <c r="C18" s="9" t="n">
        <v>0.07</v>
      </c>
      <c r="D18" s="10"/>
      <c r="E18" s="11" t="str">
        <f aca="false">IF(ISNUMBER(D18),D18*C18,"")</f>
        <v/>
      </c>
      <c r="F18" s="12" t="s">
        <v>54</v>
      </c>
      <c r="G18" s="13" t="s">
        <v>55</v>
      </c>
      <c r="H18" s="14" t="s">
        <v>56</v>
      </c>
    </row>
    <row r="19" customFormat="false" ht="24" hidden="false" customHeight="true" outlineLevel="0" collapsed="false">
      <c r="A19" s="15"/>
      <c r="B19" s="16" t="s">
        <v>57</v>
      </c>
      <c r="C19" s="17" t="n">
        <v>1</v>
      </c>
      <c r="D19" s="15"/>
      <c r="E19" s="18" t="n">
        <f aca="false">ROUND((IF(ISNUMBER(D5),D5*C5,0)+IF(ISNUMBER(D6),D6*C6,0)+IF(ISNUMBER(D7),D7*C7,0)+IF(ISNUMBER(D9),D9*C9,0)+IF(ISNUMBER(D10),D10*C10,0)+IF(ISNUMBER(D11),D11*C11,0)+IF(ISNUMBER(D13),D13*C13,0)+IF(ISNUMBER(D14),D14*C14,0)+IF(ISNUMBER(D15),D15*C15,0)+IF(ISNUMBER(D17),D17*C17,0)+IF(ISNUMBER(D18),D18*C18,0))*20,1)</f>
        <v>0</v>
      </c>
      <c r="F19" s="15" t="s">
        <v>58</v>
      </c>
      <c r="G19" s="15"/>
      <c r="H19" s="15"/>
    </row>
    <row r="21" customFormat="false" ht="19.5" hidden="false" customHeight="true" outlineLevel="0" collapsed="false">
      <c r="A21" s="19" t="s">
        <v>59</v>
      </c>
      <c r="B21" s="19"/>
      <c r="C21" s="19"/>
      <c r="D21" s="19"/>
      <c r="E21" s="19"/>
      <c r="F21" s="19"/>
      <c r="G21" s="19"/>
      <c r="H21" s="19"/>
    </row>
    <row r="22" customFormat="false" ht="21.75" hidden="false" customHeight="true" outlineLevel="0" collapsed="false">
      <c r="A22" s="20" t="s">
        <v>60</v>
      </c>
      <c r="B22" s="21" t="s">
        <v>61</v>
      </c>
      <c r="C22" s="22" t="s">
        <v>62</v>
      </c>
      <c r="D22" s="22"/>
      <c r="E22" s="22"/>
      <c r="F22" s="22"/>
      <c r="G22" s="22"/>
      <c r="H22" s="22"/>
    </row>
    <row r="23" customFormat="false" ht="21.75" hidden="false" customHeight="true" outlineLevel="0" collapsed="false">
      <c r="A23" s="23" t="s">
        <v>63</v>
      </c>
      <c r="B23" s="24" t="s">
        <v>64</v>
      </c>
      <c r="C23" s="22" t="s">
        <v>65</v>
      </c>
      <c r="D23" s="22"/>
      <c r="E23" s="22"/>
      <c r="F23" s="22"/>
      <c r="G23" s="22"/>
      <c r="H23" s="22"/>
    </row>
    <row r="24" customFormat="false" ht="21.75" hidden="false" customHeight="true" outlineLevel="0" collapsed="false">
      <c r="A24" s="25" t="s">
        <v>66</v>
      </c>
      <c r="B24" s="26" t="s">
        <v>67</v>
      </c>
      <c r="C24" s="22" t="s">
        <v>68</v>
      </c>
      <c r="D24" s="22"/>
      <c r="E24" s="22"/>
      <c r="F24" s="22"/>
      <c r="G24" s="22"/>
      <c r="H24" s="22"/>
    </row>
    <row r="26" customFormat="false" ht="19.5" hidden="false" customHeight="true" outlineLevel="0" collapsed="false">
      <c r="A26" s="27" t="s">
        <v>69</v>
      </c>
      <c r="B26" s="27"/>
      <c r="C26" s="27"/>
      <c r="D26" s="27"/>
      <c r="E26" s="27"/>
      <c r="F26" s="27"/>
      <c r="G26" s="27"/>
      <c r="H26" s="27"/>
    </row>
    <row r="27" customFormat="false" ht="21.75" hidden="false" customHeight="true" outlineLevel="0" collapsed="false">
      <c r="A27" s="25" t="s">
        <v>70</v>
      </c>
      <c r="B27" s="26" t="s">
        <v>71</v>
      </c>
      <c r="C27" s="22" t="s">
        <v>72</v>
      </c>
      <c r="D27" s="22"/>
      <c r="E27" s="22"/>
      <c r="F27" s="22"/>
      <c r="G27" s="22"/>
      <c r="H27" s="22"/>
    </row>
    <row r="28" customFormat="false" ht="21.75" hidden="false" customHeight="true" outlineLevel="0" collapsed="false">
      <c r="A28" s="25" t="s">
        <v>70</v>
      </c>
      <c r="B28" s="26" t="s">
        <v>73</v>
      </c>
      <c r="C28" s="22" t="s">
        <v>74</v>
      </c>
      <c r="D28" s="22"/>
      <c r="E28" s="22"/>
      <c r="F28" s="22"/>
      <c r="G28" s="22"/>
      <c r="H28" s="22"/>
    </row>
    <row r="29" customFormat="false" ht="21.75" hidden="false" customHeight="true" outlineLevel="0" collapsed="false">
      <c r="A29" s="25" t="s">
        <v>70</v>
      </c>
      <c r="B29" s="26" t="s">
        <v>75</v>
      </c>
      <c r="C29" s="22" t="s">
        <v>76</v>
      </c>
      <c r="D29" s="22"/>
      <c r="E29" s="22"/>
      <c r="F29" s="22"/>
      <c r="G29" s="22"/>
      <c r="H29" s="22"/>
    </row>
    <row r="30" customFormat="false" ht="21.75" hidden="false" customHeight="true" outlineLevel="0" collapsed="false">
      <c r="A30" s="25" t="s">
        <v>70</v>
      </c>
      <c r="B30" s="26" t="s">
        <v>77</v>
      </c>
      <c r="C30" s="22" t="s">
        <v>78</v>
      </c>
      <c r="D30" s="22"/>
      <c r="E30" s="22"/>
      <c r="F30" s="22"/>
      <c r="G30" s="22"/>
      <c r="H30" s="22"/>
    </row>
    <row r="31" customFormat="false" ht="21.75" hidden="false" customHeight="true" outlineLevel="0" collapsed="false">
      <c r="A31" s="25" t="s">
        <v>70</v>
      </c>
      <c r="B31" s="26" t="s">
        <v>79</v>
      </c>
      <c r="C31" s="22" t="s">
        <v>80</v>
      </c>
      <c r="D31" s="22"/>
      <c r="E31" s="22"/>
      <c r="F31" s="22"/>
      <c r="G31" s="22"/>
      <c r="H31" s="22"/>
    </row>
    <row r="32" customFormat="false" ht="21.75" hidden="false" customHeight="true" outlineLevel="0" collapsed="false">
      <c r="A32" s="25" t="s">
        <v>70</v>
      </c>
      <c r="B32" s="26" t="s">
        <v>81</v>
      </c>
      <c r="C32" s="22" t="s">
        <v>82</v>
      </c>
      <c r="D32" s="22"/>
      <c r="E32" s="22"/>
      <c r="F32" s="22"/>
      <c r="G32" s="22"/>
      <c r="H32" s="22"/>
    </row>
    <row r="35" customFormat="false" ht="15" hidden="false" customHeight="true" outlineLevel="0" collapsed="false">
      <c r="A35" s="19" t="s">
        <v>83</v>
      </c>
      <c r="B35" s="19"/>
      <c r="C35" s="19"/>
      <c r="D35" s="19"/>
      <c r="E35" s="19"/>
    </row>
    <row r="36" customFormat="false" ht="24" hidden="false" customHeight="true" outlineLevel="0" collapsed="false">
      <c r="A36" s="28" t="n">
        <v>5</v>
      </c>
      <c r="B36" s="29" t="s">
        <v>84</v>
      </c>
      <c r="C36" s="22" t="s">
        <v>85</v>
      </c>
      <c r="D36" s="22"/>
      <c r="E36" s="22"/>
    </row>
    <row r="37" customFormat="false" ht="24" hidden="false" customHeight="true" outlineLevel="0" collapsed="false">
      <c r="A37" s="30" t="n">
        <v>4</v>
      </c>
      <c r="B37" s="31" t="s">
        <v>86</v>
      </c>
      <c r="C37" s="22" t="s">
        <v>87</v>
      </c>
      <c r="D37" s="22"/>
      <c r="E37" s="22"/>
    </row>
    <row r="38" customFormat="false" ht="24" hidden="false" customHeight="true" outlineLevel="0" collapsed="false">
      <c r="A38" s="32" t="n">
        <v>3</v>
      </c>
      <c r="B38" s="24" t="s">
        <v>88</v>
      </c>
      <c r="C38" s="22" t="s">
        <v>89</v>
      </c>
      <c r="D38" s="22"/>
      <c r="E38" s="22"/>
    </row>
    <row r="39" customFormat="false" ht="24" hidden="false" customHeight="true" outlineLevel="0" collapsed="false">
      <c r="A39" s="33" t="n">
        <v>2</v>
      </c>
      <c r="B39" s="26" t="s">
        <v>90</v>
      </c>
      <c r="C39" s="22" t="s">
        <v>91</v>
      </c>
      <c r="D39" s="22"/>
      <c r="E39" s="22"/>
    </row>
    <row r="40" customFormat="false" ht="24" hidden="false" customHeight="true" outlineLevel="0" collapsed="false">
      <c r="A40" s="33" t="n">
        <v>1</v>
      </c>
      <c r="B40" s="26" t="s">
        <v>92</v>
      </c>
      <c r="C40" s="22" t="s">
        <v>93</v>
      </c>
      <c r="D40" s="22"/>
      <c r="E40" s="22"/>
    </row>
  </sheetData>
  <mergeCells count="23">
    <mergeCell ref="A1:G1"/>
    <mergeCell ref="A4:H4"/>
    <mergeCell ref="A8:H8"/>
    <mergeCell ref="A12:H12"/>
    <mergeCell ref="A16:H16"/>
    <mergeCell ref="F19:H19"/>
    <mergeCell ref="A21:H21"/>
    <mergeCell ref="C22:H22"/>
    <mergeCell ref="C23:H23"/>
    <mergeCell ref="C24:H24"/>
    <mergeCell ref="A26:H26"/>
    <mergeCell ref="C27:H27"/>
    <mergeCell ref="C28:H28"/>
    <mergeCell ref="C29:H29"/>
    <mergeCell ref="C30:H30"/>
    <mergeCell ref="C31:H31"/>
    <mergeCell ref="C32:H32"/>
    <mergeCell ref="A35:E35"/>
    <mergeCell ref="C36:E36"/>
    <mergeCell ref="C37:E37"/>
    <mergeCell ref="C38:E38"/>
    <mergeCell ref="C39:E39"/>
    <mergeCell ref="C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2026-06-04T12:59:52Z</dcterms:created>
  <dc:creator>openpyxl</dc:creator>
  <dc:description/>
  <dc:language>en-US</dc:language>
  <cp:lastModifiedBy/>
  <dcterms:modified xsi:type="dcterms:W3CDTF">2026-06-04T13:02:43Z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