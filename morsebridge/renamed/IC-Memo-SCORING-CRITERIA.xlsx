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 Memo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<sst xmlns="http://schemas.openxmlformats.org/spreadsheetml/2006/main" count="85" uniqueCount="82">
  <si>
    <t xml:space="preserve">IC MEMO — Investment Committee Scorecard | Morsebridge Healthcare</t>
  </si>
  <si>
    <t xml:space="preserve">#</t>
  </si>
  <si>
    <t xml:space="preserve">Criterion</t>
  </si>
  <si>
    <t xml:space="preserve">Weight</t>
  </si>
  <si>
    <t xml:space="preserve">Score (1-5)
Enter Here</t>
  </si>
  <si>
    <t xml:space="preserve">Weighted Score</t>
  </si>
  <si>
    <t xml:space="preserve">Score 5 (Exceptional)</t>
  </si>
  <si>
    <t xml:space="preserve">Score 3 (Adequate)</t>
  </si>
  <si>
    <t xml:space="preserve">Score 1 (Critical)</t>
  </si>
  <si>
    <t xml:space="preserve">INVESTMENT THESIS STRENGTH</t>
  </si>
  <si>
    <t xml:space="preserve">Thesis Conviction</t>
  </si>
  <si>
    <t xml:space="preserve">All 3 pillars are specific, quantified, and stress-tested in bear case.</t>
  </si>
  <si>
    <t xml:space="preserve">2 of 3 pillars are well-evidenced. Third is directional.</t>
  </si>
  <si>
    <t xml:space="preserve">Thesis is generic. Not differentiated from a standard growth story.</t>
  </si>
  <si>
    <t xml:space="preserve">Value Creation Clarity</t>
  </si>
  <si>
    <t xml:space="preserve">100-day plan has specific actions, owners, and milestones. 3-year roadmap quantified.</t>
  </si>
  <si>
    <t xml:space="preserve">Plan present but lacking specific ownership or timeline.</t>
  </si>
  <si>
    <t xml:space="preserve">No credible plan. Vague aspirations only.</t>
  </si>
  <si>
    <t xml:space="preserve">DD QUALITY SUMMARY</t>
  </si>
  <si>
    <t xml:space="preserve">Commercial DD Score</t>
  </si>
  <si>
    <t xml:space="preserve">Commercial DD score 80+. Strong market and competitive position.</t>
  </si>
  <si>
    <t xml:space="preserve">Commercial DD score 65-79. Adequate commercial foundation.</t>
  </si>
  <si>
    <t xml:space="preserve">Commercial DD score below 65. Material commercial concerns.</t>
  </si>
  <si>
    <t xml:space="preserve">Financial DD Score</t>
  </si>
  <si>
    <t xml:space="preserve">Financial DD score 80+. No hard gate triggered. Strong revenue quality and returns.</t>
  </si>
  <si>
    <t xml:space="preserve">Financial DD score 65-79. No hard gate. Some financial concerns managed.</t>
  </si>
  <si>
    <t xml:space="preserve">Financial DD score below 65 or hard gate triggered.</t>
  </si>
  <si>
    <t xml:space="preserve">Management DD Score</t>
  </si>
  <si>
    <t xml:space="preserve">Management DD score 80+. Strong PE-ready team with aligned equity.</t>
  </si>
  <si>
    <t xml:space="preserve">Management DD score 65-79. Adequate team with manageable gaps.</t>
  </si>
  <si>
    <t xml:space="preserve">Management DD score below 65. Material management concerns.</t>
  </si>
  <si>
    <t xml:space="preserve">RETURNS AND RISK</t>
  </si>
  <si>
    <t xml:space="preserve">Base Case Returns</t>
  </si>
  <si>
    <t xml:space="preserve">Base case MOIC 3.0x+, IRR 25%+. Strong risk-adjusted returns.</t>
  </si>
  <si>
    <t xml:space="preserve">Base case MOIC 2.0-2.9x, IRR 20-24%. Acceptable.</t>
  </si>
  <si>
    <t xml:space="preserve">Base case MOIC below 2.0x or IRR below 20%.</t>
  </si>
  <si>
    <t xml:space="preserve">Bear Case Floor</t>
  </si>
  <si>
    <t xml:space="preserve">Bear case MOIC 1.8x+. Capital protected in downside.</t>
  </si>
  <si>
    <t xml:space="preserve">Bear case MOIC 1.3-1.7x. Modest downside protection.</t>
  </si>
  <si>
    <t xml:space="preserve">Bear case MOIC below 1.3x. Material capital at risk.</t>
  </si>
  <si>
    <t xml:space="preserve">Risk Register Quality</t>
  </si>
  <si>
    <t xml:space="preserve">All material risks identified, quantified, and mitigated. No unresolved open items.</t>
  </si>
  <si>
    <t xml:space="preserve">Key risks identified. 1-2 open items remaining.</t>
  </si>
  <si>
    <t xml:space="preserve">Material risks not addressed or open items unresolved.</t>
  </si>
  <si>
    <t xml:space="preserve">PROCESS AND DEAL TERMS</t>
  </si>
  <si>
    <t xml:space="preserve">Deal Terms Attractiveness</t>
  </si>
  <si>
    <t xml:space="preserve">EV and multiples below comp set. Favourable entry.</t>
  </si>
  <si>
    <t xml:space="preserve">EV and multiples in line with comp set.</t>
  </si>
  <si>
    <t xml:space="preserve">EV and multiples above comp set. Expensive entry.</t>
  </si>
  <si>
    <t xml:space="preserve">TOTAL WEIGHTED SCORE</t>
  </si>
  <si>
    <t xml:space="preserve">Max score = 100</t>
  </si>
  <si>
    <t xml:space="preserve">SCORE INTERPRETATION</t>
  </si>
  <si>
    <t xml:space="preserve">80-100</t>
  </si>
  <si>
    <t xml:space="preserve">Strong Proceed</t>
  </si>
  <si>
    <t xml:space="preserve">High conviction. Recommend proceeding to next stage without conditions.</t>
  </si>
  <si>
    <t xml:space="preserve">65-79</t>
  </si>
  <si>
    <t xml:space="preserve">Conditional Proceed</t>
  </si>
  <si>
    <t xml:space="preserve">Proceed with identified conditions to be resolved before investment approval.</t>
  </si>
  <si>
    <t xml:space="preserve">Below 65</t>
  </si>
  <si>
    <t xml:space="preserve">Pass</t>
  </si>
  <si>
    <t xml:space="preserve">Material concerns. Do not proceed without significant new information.</t>
  </si>
  <si>
    <t xml:space="preserve">HARD GATE FLAGS</t>
  </si>
  <si>
    <t xml:space="preserve">⚠</t>
  </si>
  <si>
    <t xml:space="preserve">Any unresolved Critical flag from Financial DD</t>
  </si>
  <si>
    <t xml:space="preserve">Hard gate. Recommendation cannot be INVEST.</t>
  </si>
  <si>
    <t xml:space="preserve">Bear case IRR below 15%</t>
  </si>
  <si>
    <t xml:space="preserve">Hard gate. Returns insufficient even with upside.</t>
  </si>
  <si>
    <t xml:space="preserve">Financial DD hard gate triggered and unresolved</t>
  </si>
  <si>
    <t xml:space="preserve">Hard gate. IC cannot approve until resolved.</t>
  </si>
  <si>
    <t xml:space="preserve">Management DD PE readiness score 1 (CEO or CFO)</t>
  </si>
  <si>
    <t xml:space="preserve">Hard gate. Conditional Invest minimum — requires operating partner plan.</t>
  </si>
  <si>
    <t xml:space="preserve">SCORING GUIDE</t>
  </si>
  <si>
    <t xml:space="preserve">Exceptional</t>
  </si>
  <si>
    <t xml:space="preserve">Materially exceeds threshold. Clear competitive advantage or very low risk.</t>
  </si>
  <si>
    <t xml:space="preserve">Strong</t>
  </si>
  <si>
    <t xml:space="preserve">Above threshold. Minor concerns only, well mitigated.</t>
  </si>
  <si>
    <t xml:space="preserve">Adequate</t>
  </si>
  <si>
    <t xml:space="preserve">Meets minimum threshold. Some concerns present but manageable.</t>
  </si>
  <si>
    <t xml:space="preserve">Weak</t>
  </si>
  <si>
    <t xml:space="preserve">Below threshold. Significant concern requiring active management.</t>
  </si>
  <si>
    <t xml:space="preserve">Critical</t>
  </si>
  <si>
    <t xml:space="preserve">Fails threshold. Material risk or disqualifying issue.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</si>
</sst>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0AD4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2E6DB4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CCCCCC"/>
      </patternFill>
    </fill>
    <fill>
      <patternFill patternType="solid">
        <fgColor rgb="FF1E7E34"/>
        <bgColor rgb="FF339966"/>
      </patternFill>
    </fill>
    <fill>
      <patternFill patternType="solid">
        <fgColor rgb="FF70AD47"/>
        <bgColor rgb="FF339966"/>
      </patternFill>
    </fill>
    <fill>
      <patternFill patternType="solid">
        <fgColor rgb="FF9C5700"/>
        <bgColor rgb="FF80800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666699"/>
      <rgbColor rgb="FF70AD47"/>
      <rgbColor rgb="FF1B3A5C"/>
      <rgbColor rgb="FF339966"/>
      <rgbColor rgb="FF0D1B2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8" min="6" style="1" width="2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30" hidden="false" customHeight="true" outlineLevel="0" collapsed="false">
      <c r="A3" s="3" t="s">
        <v>1</v>
      </c>
      <c r="B3" s="4" t="s">
        <v>2</v>
      </c>
      <c r="C3" s="3" t="s">
        <v>3</v>
      </c>
      <c r="D3" s="5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customFormat="false" ht="19.5" hidden="false" customHeight="true" outlineLevel="0" collapsed="false">
      <c r="A4" s="6" t="s">
        <v>9</v>
      </c>
      <c r="B4" s="6"/>
      <c r="C4" s="6"/>
      <c r="D4" s="6"/>
      <c r="E4" s="6"/>
      <c r="F4" s="6"/>
      <c r="G4" s="6"/>
      <c r="H4" s="6"/>
    </row>
    <row r="5" customFormat="false" ht="39.75" hidden="false" customHeight="true" outlineLevel="0" collapsed="false">
      <c r="A5" s="7" t="n">
        <v>1</v>
      </c>
      <c r="B5" s="8" t="s">
        <v>10</v>
      </c>
      <c r="C5" s="9" t="n">
        <v>0.15</v>
      </c>
      <c r="D5" s="10"/>
      <c r="E5" s="11" t="str">
        <f aca="false">IF(ISNUMBER(D5),D5*C5,"")</f>
        <v/>
      </c>
      <c r="F5" s="12" t="s">
        <v>11</v>
      </c>
      <c r="G5" s="13" t="s">
        <v>12</v>
      </c>
      <c r="H5" s="14" t="s">
        <v>13</v>
      </c>
    </row>
    <row r="6" customFormat="false" ht="39.75" hidden="false" customHeight="true" outlineLevel="0" collapsed="false">
      <c r="A6" s="7" t="n">
        <v>2</v>
      </c>
      <c r="B6" s="8" t="s">
        <v>14</v>
      </c>
      <c r="C6" s="9" t="n">
        <v>0.1</v>
      </c>
      <c r="D6" s="10"/>
      <c r="E6" s="11" t="str">
        <f aca="false">IF(ISNUMBER(D6),D6*C6,"")</f>
        <v/>
      </c>
      <c r="F6" s="12" t="s">
        <v>15</v>
      </c>
      <c r="G6" s="13" t="s">
        <v>16</v>
      </c>
      <c r="H6" s="14" t="s">
        <v>17</v>
      </c>
    </row>
    <row r="7" customFormat="false" ht="19.5" hidden="false" customHeight="true" outlineLevel="0" collapsed="false">
      <c r="A7" s="6" t="s">
        <v>18</v>
      </c>
      <c r="B7" s="6"/>
      <c r="C7" s="6"/>
      <c r="D7" s="6"/>
      <c r="E7" s="6"/>
      <c r="F7" s="6"/>
      <c r="G7" s="6"/>
      <c r="H7" s="6"/>
    </row>
    <row r="8" customFormat="false" ht="39.75" hidden="false" customHeight="true" outlineLevel="0" collapsed="false">
      <c r="A8" s="7" t="n">
        <v>3</v>
      </c>
      <c r="B8" s="8" t="s">
        <v>19</v>
      </c>
      <c r="C8" s="9" t="n">
        <v>0.12</v>
      </c>
      <c r="D8" s="10"/>
      <c r="E8" s="11" t="str">
        <f aca="false">IF(ISNUMBER(D8),D8*C8,"")</f>
        <v/>
      </c>
      <c r="F8" s="12" t="s">
        <v>20</v>
      </c>
      <c r="G8" s="13" t="s">
        <v>21</v>
      </c>
      <c r="H8" s="14" t="s">
        <v>22</v>
      </c>
    </row>
    <row r="9" customFormat="false" ht="39.75" hidden="false" customHeight="true" outlineLevel="0" collapsed="false">
      <c r="A9" s="7" t="n">
        <v>4</v>
      </c>
      <c r="B9" s="8" t="s">
        <v>23</v>
      </c>
      <c r="C9" s="9" t="n">
        <v>0.15</v>
      </c>
      <c r="D9" s="10"/>
      <c r="E9" s="11" t="str">
        <f aca="false">IF(ISNUMBER(D9),D9*C9,"")</f>
        <v/>
      </c>
      <c r="F9" s="12" t="s">
        <v>24</v>
      </c>
      <c r="G9" s="13" t="s">
        <v>25</v>
      </c>
      <c r="H9" s="14" t="s">
        <v>26</v>
      </c>
    </row>
    <row r="10" customFormat="false" ht="39.75" hidden="false" customHeight="true" outlineLevel="0" collapsed="false">
      <c r="A10" s="7" t="n">
        <v>5</v>
      </c>
      <c r="B10" s="8" t="s">
        <v>27</v>
      </c>
      <c r="C10" s="9" t="n">
        <v>0.1</v>
      </c>
      <c r="D10" s="10"/>
      <c r="E10" s="11" t="str">
        <f aca="false">IF(ISNUMBER(D10),D10*C10,"")</f>
        <v/>
      </c>
      <c r="F10" s="12" t="s">
        <v>28</v>
      </c>
      <c r="G10" s="13" t="s">
        <v>29</v>
      </c>
      <c r="H10" s="14" t="s">
        <v>30</v>
      </c>
    </row>
    <row r="11" customFormat="false" ht="19.5" hidden="false" customHeight="true" outlineLevel="0" collapsed="false">
      <c r="A11" s="6" t="s">
        <v>31</v>
      </c>
      <c r="B11" s="6"/>
      <c r="C11" s="6"/>
      <c r="D11" s="6"/>
      <c r="E11" s="6"/>
      <c r="F11" s="6"/>
      <c r="G11" s="6"/>
      <c r="H11" s="6"/>
    </row>
    <row r="12" customFormat="false" ht="39.75" hidden="false" customHeight="true" outlineLevel="0" collapsed="false">
      <c r="A12" s="7" t="n">
        <v>6</v>
      </c>
      <c r="B12" s="8" t="s">
        <v>32</v>
      </c>
      <c r="C12" s="9" t="n">
        <v>0.15</v>
      </c>
      <c r="D12" s="10"/>
      <c r="E12" s="11" t="str">
        <f aca="false">IF(ISNUMBER(D12),D12*C12,"")</f>
        <v/>
      </c>
      <c r="F12" s="12" t="s">
        <v>33</v>
      </c>
      <c r="G12" s="13" t="s">
        <v>34</v>
      </c>
      <c r="H12" s="14" t="s">
        <v>35</v>
      </c>
    </row>
    <row r="13" customFormat="false" ht="39.75" hidden="false" customHeight="true" outlineLevel="0" collapsed="false">
      <c r="A13" s="7" t="n">
        <v>7</v>
      </c>
      <c r="B13" s="8" t="s">
        <v>36</v>
      </c>
      <c r="C13" s="9" t="n">
        <v>0.08</v>
      </c>
      <c r="D13" s="10"/>
      <c r="E13" s="11" t="str">
        <f aca="false">IF(ISNUMBER(D13),D13*C13,"")</f>
        <v/>
      </c>
      <c r="F13" s="12" t="s">
        <v>37</v>
      </c>
      <c r="G13" s="13" t="s">
        <v>38</v>
      </c>
      <c r="H13" s="14" t="s">
        <v>39</v>
      </c>
    </row>
    <row r="14" customFormat="false" ht="39.75" hidden="false" customHeight="true" outlineLevel="0" collapsed="false">
      <c r="A14" s="7" t="n">
        <v>8</v>
      </c>
      <c r="B14" s="8" t="s">
        <v>40</v>
      </c>
      <c r="C14" s="9" t="n">
        <v>0.08</v>
      </c>
      <c r="D14" s="10"/>
      <c r="E14" s="11" t="str">
        <f aca="false">IF(ISNUMBER(D14),D14*C14,"")</f>
        <v/>
      </c>
      <c r="F14" s="12" t="s">
        <v>41</v>
      </c>
      <c r="G14" s="13" t="s">
        <v>42</v>
      </c>
      <c r="H14" s="14" t="s">
        <v>43</v>
      </c>
    </row>
    <row r="15" customFormat="false" ht="19.5" hidden="false" customHeight="true" outlineLevel="0" collapsed="false">
      <c r="A15" s="6" t="s">
        <v>44</v>
      </c>
      <c r="B15" s="6"/>
      <c r="C15" s="6"/>
      <c r="D15" s="6"/>
      <c r="E15" s="6"/>
      <c r="F15" s="6"/>
      <c r="G15" s="6"/>
      <c r="H15" s="6"/>
    </row>
    <row r="16" customFormat="false" ht="39.75" hidden="false" customHeight="true" outlineLevel="0" collapsed="false">
      <c r="A16" s="7" t="n">
        <v>9</v>
      </c>
      <c r="B16" s="8" t="s">
        <v>45</v>
      </c>
      <c r="C16" s="9" t="n">
        <v>0.07</v>
      </c>
      <c r="D16" s="10"/>
      <c r="E16" s="11" t="str">
        <f aca="false">IF(ISNUMBER(D16),D16*C16,"")</f>
        <v/>
      </c>
      <c r="F16" s="12" t="s">
        <v>46</v>
      </c>
      <c r="G16" s="13" t="s">
        <v>47</v>
      </c>
      <c r="H16" s="14" t="s">
        <v>48</v>
      </c>
    </row>
    <row r="17" customFormat="false" ht="24" hidden="false" customHeight="true" outlineLevel="0" collapsed="false">
      <c r="A17" s="15"/>
      <c r="B17" s="16" t="s">
        <v>49</v>
      </c>
      <c r="C17" s="17" t="n">
        <v>1</v>
      </c>
      <c r="D17" s="15"/>
      <c r="E17" s="18" t="n">
        <f aca="false">ROUND((IF(ISNUMBER(D5),D5*C5,0)+IF(ISNUMBER(D6),D6*C6,0)+IF(ISNUMBER(D8),D8*C8,0)+IF(ISNUMBER(D9),D9*C9,0)+IF(ISNUMBER(D10),D10*C10,0)+IF(ISNUMBER(D12),D12*C12,0)+IF(ISNUMBER(D13),D13*C13,0)+IF(ISNUMBER(D14),D14*C14,0)+IF(ISNUMBER(D16),D16*C16,0))*20,1)</f>
        <v>0</v>
      </c>
      <c r="F17" s="15" t="s">
        <v>50</v>
      </c>
      <c r="G17" s="15"/>
      <c r="H17" s="15"/>
    </row>
    <row r="19" customFormat="false" ht="19.5" hidden="false" customHeight="true" outlineLevel="0" collapsed="false">
      <c r="A19" s="19" t="s">
        <v>51</v>
      </c>
      <c r="B19" s="19"/>
      <c r="C19" s="19"/>
      <c r="D19" s="19"/>
      <c r="E19" s="19"/>
      <c r="F19" s="19"/>
      <c r="G19" s="19"/>
      <c r="H19" s="19"/>
    </row>
    <row r="20" customFormat="false" ht="21.75" hidden="false" customHeight="true" outlineLevel="0" collapsed="false">
      <c r="A20" s="20" t="s">
        <v>52</v>
      </c>
      <c r="B20" s="21" t="s">
        <v>53</v>
      </c>
      <c r="C20" s="22" t="s">
        <v>54</v>
      </c>
      <c r="D20" s="22"/>
      <c r="E20" s="22"/>
      <c r="F20" s="22"/>
      <c r="G20" s="22"/>
      <c r="H20" s="22"/>
    </row>
    <row r="21" customFormat="false" ht="21.75" hidden="false" customHeight="true" outlineLevel="0" collapsed="false">
      <c r="A21" s="23" t="s">
        <v>55</v>
      </c>
      <c r="B21" s="24" t="s">
        <v>56</v>
      </c>
      <c r="C21" s="22" t="s">
        <v>57</v>
      </c>
      <c r="D21" s="22"/>
      <c r="E21" s="22"/>
      <c r="F21" s="22"/>
      <c r="G21" s="22"/>
      <c r="H21" s="22"/>
    </row>
    <row r="22" customFormat="false" ht="21.75" hidden="false" customHeight="true" outlineLevel="0" collapsed="false">
      <c r="A22" s="25" t="s">
        <v>58</v>
      </c>
      <c r="B22" s="26" t="s">
        <v>59</v>
      </c>
      <c r="C22" s="22" t="s">
        <v>60</v>
      </c>
      <c r="D22" s="22"/>
      <c r="E22" s="22"/>
      <c r="F22" s="22"/>
      <c r="G22" s="22"/>
      <c r="H22" s="22"/>
    </row>
    <row r="24" customFormat="false" ht="19.5" hidden="false" customHeight="true" outlineLevel="0" collapsed="false">
      <c r="A24" s="27" t="s">
        <v>61</v>
      </c>
      <c r="B24" s="27"/>
      <c r="C24" s="27"/>
      <c r="D24" s="27"/>
      <c r="E24" s="27"/>
      <c r="F24" s="27"/>
      <c r="G24" s="27"/>
      <c r="H24" s="27"/>
    </row>
    <row r="25" customFormat="false" ht="21.75" hidden="false" customHeight="true" outlineLevel="0" collapsed="false">
      <c r="A25" s="25" t="s">
        <v>62</v>
      </c>
      <c r="B25" s="26" t="s">
        <v>63</v>
      </c>
      <c r="C25" s="22" t="s">
        <v>64</v>
      </c>
      <c r="D25" s="22"/>
      <c r="E25" s="22"/>
      <c r="F25" s="22"/>
      <c r="G25" s="22"/>
      <c r="H25" s="22"/>
    </row>
    <row r="26" customFormat="false" ht="21.75" hidden="false" customHeight="true" outlineLevel="0" collapsed="false">
      <c r="A26" s="25" t="s">
        <v>62</v>
      </c>
      <c r="B26" s="26" t="s">
        <v>65</v>
      </c>
      <c r="C26" s="22" t="s">
        <v>66</v>
      </c>
      <c r="D26" s="22"/>
      <c r="E26" s="22"/>
      <c r="F26" s="22"/>
      <c r="G26" s="22"/>
      <c r="H26" s="22"/>
    </row>
    <row r="27" customFormat="false" ht="21.75" hidden="false" customHeight="true" outlineLevel="0" collapsed="false">
      <c r="A27" s="25" t="s">
        <v>62</v>
      </c>
      <c r="B27" s="26" t="s">
        <v>67</v>
      </c>
      <c r="C27" s="22" t="s">
        <v>68</v>
      </c>
      <c r="D27" s="22"/>
      <c r="E27" s="22"/>
      <c r="F27" s="22"/>
      <c r="G27" s="22"/>
      <c r="H27" s="22"/>
    </row>
    <row r="28" customFormat="false" ht="21.75" hidden="false" customHeight="true" outlineLevel="0" collapsed="false">
      <c r="A28" s="25" t="s">
        <v>62</v>
      </c>
      <c r="B28" s="26" t="s">
        <v>69</v>
      </c>
      <c r="C28" s="22" t="s">
        <v>70</v>
      </c>
      <c r="D28" s="22"/>
      <c r="E28" s="22"/>
      <c r="F28" s="22"/>
      <c r="G28" s="22"/>
      <c r="H28" s="22"/>
    </row>
    <row r="31" customFormat="false" ht="15" hidden="false" customHeight="true" outlineLevel="0" collapsed="false">
      <c r="A31" s="19" t="s">
        <v>71</v>
      </c>
      <c r="B31" s="19"/>
      <c r="C31" s="19"/>
      <c r="D31" s="19"/>
      <c r="E31" s="19"/>
    </row>
    <row r="32" customFormat="false" ht="24" hidden="false" customHeight="true" outlineLevel="0" collapsed="false">
      <c r="A32" s="28" t="n">
        <v>5</v>
      </c>
      <c r="B32" s="29" t="s">
        <v>72</v>
      </c>
      <c r="C32" s="22" t="s">
        <v>73</v>
      </c>
      <c r="D32" s="22"/>
      <c r="E32" s="22"/>
    </row>
    <row r="33" customFormat="false" ht="24" hidden="false" customHeight="true" outlineLevel="0" collapsed="false">
      <c r="A33" s="30" t="n">
        <v>4</v>
      </c>
      <c r="B33" s="31" t="s">
        <v>74</v>
      </c>
      <c r="C33" s="22" t="s">
        <v>75</v>
      </c>
      <c r="D33" s="22"/>
      <c r="E33" s="22"/>
    </row>
    <row r="34" customFormat="false" ht="24" hidden="false" customHeight="true" outlineLevel="0" collapsed="false">
      <c r="A34" s="32" t="n">
        <v>3</v>
      </c>
      <c r="B34" s="24" t="s">
        <v>76</v>
      </c>
      <c r="C34" s="22" t="s">
        <v>77</v>
      </c>
      <c r="D34" s="22"/>
      <c r="E34" s="22"/>
    </row>
    <row r="35" customFormat="false" ht="24" hidden="false" customHeight="true" outlineLevel="0" collapsed="false">
      <c r="A35" s="33" t="n">
        <v>2</v>
      </c>
      <c r="B35" s="26" t="s">
        <v>78</v>
      </c>
      <c r="C35" s="22" t="s">
        <v>79</v>
      </c>
      <c r="D35" s="22"/>
      <c r="E35" s="22"/>
    </row>
    <row r="36" customFormat="false" ht="24" hidden="false" customHeight="true" outlineLevel="0" collapsed="false">
      <c r="A36" s="33" t="n">
        <v>1</v>
      </c>
      <c r="B36" s="26" t="s">
        <v>80</v>
      </c>
      <c r="C36" s="22" t="s">
        <v>81</v>
      </c>
      <c r="D36" s="22"/>
      <c r="E36" s="22"/>
    </row>
  </sheetData>
  <mergeCells count="21">
    <mergeCell ref="A1:G1"/>
    <mergeCell ref="A4:H4"/>
    <mergeCell ref="A7:H7"/>
    <mergeCell ref="A11:H11"/>
    <mergeCell ref="A15:H15"/>
    <mergeCell ref="F17:H17"/>
    <mergeCell ref="A19:H19"/>
    <mergeCell ref="C20:H20"/>
    <mergeCell ref="C21:H21"/>
    <mergeCell ref="C22:H22"/>
    <mergeCell ref="A24:H24"/>
    <mergeCell ref="C25:H25"/>
    <mergeCell ref="C26:H26"/>
    <mergeCell ref="C27:H27"/>
    <mergeCell ref="C28:H28"/>
    <mergeCell ref="A31:E31"/>
    <mergeCell ref="C32:E32"/>
    <mergeCell ref="C33:E33"/>
    <mergeCell ref="C34:E34"/>
    <mergeCell ref="C35:E35"/>
    <mergeCell ref="C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2026-06-04T12:59:52Z</dcterms:created>
  <dc:creator>openpyxl</dc:creator>
  <dc:description/>
  <dc:language>en-US</dc:language>
  <cp:lastModifiedBy/>
  <dcterms:modified xsi:type="dcterms:W3CDTF">2026-06-04T13:02:43Z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