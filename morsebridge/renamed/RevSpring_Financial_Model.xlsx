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Debt Schedule" sheetId="6" state="visible" r:id="rId8"/>
    <sheet name="LBO Retur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Source: Zippia/Revelio revenue estimates; GTCR press releases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Source: Zippia/Revelio estimates; GTCR press releases</t>
        </r>
      </text>
    </comment>
    <comment ref="D9" authorId="0">
      <text>
        <r>
          <rPr>
            <sz val="10"/>
            <rFont val="Arial"/>
            <family val="2"/>
          </rPr>
          <t xml:space="preserve">Source: Zippia/Revelio estimates; GTCR press releases</t>
        </r>
      </text>
    </comment>
    <comment ref="E9" authorId="0">
      <text>
        <r>
          <rPr>
            <sz val="10"/>
            <rFont val="Arial"/>
            <family val="2"/>
          </rPr>
          <t xml:space="preserve">Source: Zippia/Revelio estimates; GTCR press releases</t>
        </r>
      </text>
    </comment>
    <comment ref="F9" authorId="0">
      <text>
        <r>
          <rPr>
            <sz val="10"/>
            <rFont val="Arial"/>
            <family val="2"/>
          </rPr>
          <t xml:space="preserve">Source: Zippia/Revelio estimates; GTCR press releases</t>
        </r>
      </text>
    </comment>
    <comment ref="G9" authorId="0">
      <text>
        <r>
          <rPr>
            <sz val="10"/>
            <rFont val="Arial"/>
            <family val="2"/>
          </rPr>
          <t xml:space="preserve">Source: Zippia/Revelio estimates; GTCR press releases</t>
        </r>
      </text>
    </comment>
  </commentList>
</comments>
</file>

<file path=xl/sharedStrings.xml><?xml version="1.0" encoding="utf-8"?>
<sst xmlns="http://schemas.openxmlformats.org/spreadsheetml/2006/main" count="287" uniqueCount="223">
  <si>
    <t xml:space="preserve">RevSpring, Inc.</t>
  </si>
  <si>
    <t xml:space="preserve">LBO / Financial Model  |  Healthcare PE Workshop</t>
  </si>
  <si>
    <t xml:space="preserve">Prepared by Morsebridge Healthcare  |  June 2024  |  CONFIDENTIAL</t>
  </si>
  <si>
    <t xml:space="preserve">DEAL SUMMARY</t>
  </si>
  <si>
    <t xml:space="preserve">Target Company</t>
  </si>
  <si>
    <t xml:space="preserve">Headquarters</t>
  </si>
  <si>
    <t xml:space="preserve">Nashville, Tennessee</t>
  </si>
  <si>
    <t xml:space="preserve">Sub-Sector</t>
  </si>
  <si>
    <t xml:space="preserve">Patient Engagement / Revenue Cycle Management</t>
  </si>
  <si>
    <t xml:space="preserve">Deal Type</t>
  </si>
  <si>
    <t xml:space="preserve">Secondary Buyout (GTCR → Frazier Healthcare Partners)</t>
  </si>
  <si>
    <t xml:space="preserve">Transaction Date</t>
  </si>
  <si>
    <t xml:space="preserve">March 12, 2024</t>
  </si>
  <si>
    <t xml:space="preserve">Enterprise Value</t>
  </si>
  <si>
    <t xml:space="preserve">~$1,300M</t>
  </si>
  <si>
    <t xml:space="preserve">Equity Value (implied)</t>
  </si>
  <si>
    <t xml:space="preserve">~$990M</t>
  </si>
  <si>
    <t xml:space="preserve">Net Debt at Close</t>
  </si>
  <si>
    <t xml:space="preserve">~$310M</t>
  </si>
  <si>
    <t xml:space="preserve">EV / Revenue (FY2023)</t>
  </si>
  <si>
    <t xml:space="preserve">~5.2x</t>
  </si>
  <si>
    <t xml:space="preserve">EV / EBITDA (FY2023)</t>
  </si>
  <si>
    <t xml:space="preserve">~19.4x</t>
  </si>
  <si>
    <t xml:space="preserve">Entry Leverage</t>
  </si>
  <si>
    <t xml:space="preserve">~4.3x Net Debt / EBITDA</t>
  </si>
  <si>
    <t xml:space="preserve">Sell-Side Advisors</t>
  </si>
  <si>
    <t xml:space="preserve">Morgan Stanley; Triple Tree</t>
  </si>
  <si>
    <t xml:space="preserve">Target Return</t>
  </si>
  <si>
    <t xml:space="preserve">3.0x+ MOIC | 25%+ IRR</t>
  </si>
  <si>
    <t xml:space="preserve">MODEL STRUCTURE</t>
  </si>
  <si>
    <t xml:space="preserve">Cover</t>
  </si>
  <si>
    <t xml:space="preserve">Deal summary and model navigation</t>
  </si>
  <si>
    <t xml:space="preserve">Assumptions</t>
  </si>
  <si>
    <t xml:space="preserve">All hardcoded inputs and scenario toggles</t>
  </si>
  <si>
    <t xml:space="preserve">Income Statement</t>
  </si>
  <si>
    <t xml:space="preserve">Revenue build, EBITDA, and net income (FY2020-FY2026E)</t>
  </si>
  <si>
    <t xml:space="preserve">Balance Sheet</t>
  </si>
  <si>
    <t xml:space="preserve">Assets, liabilities, and equity (FY2020-FY2026E)</t>
  </si>
  <si>
    <t xml:space="preserve">Cash Flow Statement</t>
  </si>
  <si>
    <t xml:space="preserve">Operating, investing, financing cash flows</t>
  </si>
  <si>
    <t xml:space="preserve">Debt Schedule</t>
  </si>
  <si>
    <t xml:space="preserve">Debt tranches, amortisation, PIK, and covenant tracking</t>
  </si>
  <si>
    <t xml:space="preserve">LBO Returns</t>
  </si>
  <si>
    <t xml:space="preserve">Entry/exit assumptions, MOIC, IRR, and sensitivity tables</t>
  </si>
  <si>
    <t xml:space="preserve">COLOR KEY</t>
  </si>
  <si>
    <t xml:space="preserve">Blue text</t>
  </si>
  <si>
    <t xml:space="preserve">Hardcoded input / assumption</t>
  </si>
  <si>
    <t xml:space="preserve">Black text</t>
  </si>
  <si>
    <t xml:space="preserve">Formula / calculated output</t>
  </si>
  <si>
    <t xml:space="preserve">Green text</t>
  </si>
  <si>
    <t xml:space="preserve">Cross-sheet link</t>
  </si>
  <si>
    <t xml:space="preserve">Blue background</t>
  </si>
  <si>
    <t xml:space="preserve">Subtotal or key output row</t>
  </si>
  <si>
    <t xml:space="preserve">Yellow background</t>
  </si>
  <si>
    <t xml:space="preserve">Cell requiring attention / update</t>
  </si>
  <si>
    <t xml:space="preserve">ASSUMPTIONS &amp; SCENARIO INPUTS</t>
  </si>
  <si>
    <t xml:space="preserve">ACTIVE SCENARIO</t>
  </si>
  <si>
    <t xml:space="preserve">Bear</t>
  </si>
  <si>
    <t xml:space="preserve">Base</t>
  </si>
  <si>
    <t xml:space="preserve">Bull</t>
  </si>
  <si>
    <t xml:space="preserve">Select Scenario (Bear / Base / Bull):</t>
  </si>
  <si>
    <t xml:space="preserve">REVENUE ASSUMPTIONS</t>
  </si>
  <si>
    <t xml:space="preserve">Metric</t>
  </si>
  <si>
    <t xml:space="preserve">FY2020A</t>
  </si>
  <si>
    <t xml:space="preserve">FY2021A</t>
  </si>
  <si>
    <t xml:space="preserve">FY2022A</t>
  </si>
  <si>
    <t xml:space="preserve">FY2023A</t>
  </si>
  <si>
    <t xml:space="preserve">FY2024E</t>
  </si>
  <si>
    <t xml:space="preserve">Revenue ($M)</t>
  </si>
  <si>
    <t xml:space="preserve">  YoY Revenue Growth</t>
  </si>
  <si>
    <t xml:space="preserve">Recurring Revenue %</t>
  </si>
  <si>
    <t xml:space="preserve">NRR (Net Revenue Retention)</t>
  </si>
  <si>
    <t xml:space="preserve">PROJECTION ASSUMPTIONS (FY2025E - FY2026E)</t>
  </si>
  <si>
    <t xml:space="preserve">FY2025E (active)</t>
  </si>
  <si>
    <t xml:space="preserve">FY2026E (active)</t>
  </si>
  <si>
    <t xml:space="preserve">Revenue Growth FY2025E</t>
  </si>
  <si>
    <t xml:space="preserve">Revenue Growth FY2026E</t>
  </si>
  <si>
    <t xml:space="preserve">Gross Margin FY2025E</t>
  </si>
  <si>
    <t xml:space="preserve">Gross Margin FY2026E</t>
  </si>
  <si>
    <t xml:space="preserve">EBITDA Margin FY2025E</t>
  </si>
  <si>
    <t xml:space="preserve">EBITDA Margin FY2026E</t>
  </si>
  <si>
    <t xml:space="preserve">D&amp;A % Revenue</t>
  </si>
  <si>
    <t xml:space="preserve">Interest Rate (avg)</t>
  </si>
  <si>
    <t xml:space="preserve">Tax Rate</t>
  </si>
  <si>
    <t xml:space="preserve">MARGIN ASSUMPTIONS (HISTORICAL)</t>
  </si>
  <si>
    <t xml:space="preserve">Gross Margin</t>
  </si>
  <si>
    <t xml:space="preserve">EBITDA Margin</t>
  </si>
  <si>
    <t xml:space="preserve">Capex % Revenue</t>
  </si>
  <si>
    <t xml:space="preserve">NWC % Revenue</t>
  </si>
  <si>
    <t xml:space="preserve">INCOME STATEMENT  |  RevSpring, Inc.  ($M)</t>
  </si>
  <si>
    <t xml:space="preserve">Line Item</t>
  </si>
  <si>
    <t xml:space="preserve">FY2025E</t>
  </si>
  <si>
    <t xml:space="preserve">FY2026E</t>
  </si>
  <si>
    <t xml:space="preserve">REVENUE</t>
  </si>
  <si>
    <t xml:space="preserve">SaaS / Subscription Revenue</t>
  </si>
  <si>
    <t xml:space="preserve">Transaction / Payment Revenue</t>
  </si>
  <si>
    <t xml:space="preserve">Print &amp; Mail Revenue</t>
  </si>
  <si>
    <t xml:space="preserve">Professional Services</t>
  </si>
  <si>
    <t xml:space="preserve">Total Revenue</t>
  </si>
  <si>
    <t xml:space="preserve">COST STRUCTURE</t>
  </si>
  <si>
    <t xml:space="preserve">Cost of Revenue</t>
  </si>
  <si>
    <t xml:space="preserve">Gross Profit</t>
  </si>
  <si>
    <t xml:space="preserve">  Gross Margin %</t>
  </si>
  <si>
    <t xml:space="preserve">EBITDA BRIDGE</t>
  </si>
  <si>
    <t xml:space="preserve">Sales &amp; Marketing</t>
  </si>
  <si>
    <t xml:space="preserve">Research &amp; Development</t>
  </si>
  <si>
    <t xml:space="preserve">General &amp; Administrative</t>
  </si>
  <si>
    <t xml:space="preserve">Total OpEx (excl. D&amp;A)</t>
  </si>
  <si>
    <t xml:space="preserve">EBITDA</t>
  </si>
  <si>
    <t xml:space="preserve">  EBITDA Margin %</t>
  </si>
  <si>
    <t xml:space="preserve">BELOW EBITDA</t>
  </si>
  <si>
    <t xml:space="preserve">Depreciation &amp; Amortisation</t>
  </si>
  <si>
    <t xml:space="preserve">EBIT</t>
  </si>
  <si>
    <t xml:space="preserve">Interest Expense</t>
  </si>
  <si>
    <t xml:space="preserve">EBT (Earnings Before Tax)</t>
  </si>
  <si>
    <t xml:space="preserve">Income Tax Expense</t>
  </si>
  <si>
    <t xml:space="preserve">Net Income (Adjusted)</t>
  </si>
  <si>
    <t xml:space="preserve">  Net Margin %</t>
  </si>
  <si>
    <t xml:space="preserve">BALANCE SHEET  |  RevSpring, Inc.  ($M)</t>
  </si>
  <si>
    <t xml:space="preserve">CURRENT ASSETS</t>
  </si>
  <si>
    <t xml:space="preserve">Cash &amp; Equivalents</t>
  </si>
  <si>
    <t xml:space="preserve">Accounts Receivable</t>
  </si>
  <si>
    <t xml:space="preserve">Prepaid &amp; Other Current</t>
  </si>
  <si>
    <t xml:space="preserve">Total Current Assets</t>
  </si>
  <si>
    <t xml:space="preserve">NON-CURRENT ASSETS</t>
  </si>
  <si>
    <t xml:space="preserve">Net PP&amp;E</t>
  </si>
  <si>
    <t xml:space="preserve">Goodwill &amp; Intangibles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</si>
  <si>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</si>
  <si>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</si>
  <si>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</si>
  <si>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</si>
  <si>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Deferred Revenue</t>
  </si>
  <si>
    <t xml:space="preserve">Accrued Liabilities</t>
  </si>
  <si>
    <t xml:space="preserve">Total Debt (net current)</t>
  </si>
  <si>
    <t xml:space="preserve">Total Liabilities</t>
  </si>
  <si>
    <t xml:space="preserve">EQUITY</t>
  </si>
  <si>
    <t xml:space="preserve">Share Capital + APIC</t>
  </si>
  <si>
    <t xml:space="preserve">Retained Earnings (Deficit)</t>
  </si>
  <si>
    <t xml:space="preserve">Total Equity</t>
  </si>
  <si>
    <t xml:space="preserve">Total Liabilities + Equity</t>
  </si>
  <si>
    <t xml:space="preserve">Balance Check (Assets - L+E)</t>
  </si>
  <si>
    <t xml:space="preserve">CASH FLOW STATEMENT  |  RevSpring, Inc.  ($M)</t>
  </si>
  <si>
    <t xml:space="preserve">OPERATING ACTIVITIES</t>
  </si>
  <si>
    <t xml:space="preserve">Net Income</t>
  </si>
  <si>
    <t xml:space="preserve">Add: D&amp;A</t>
  </si>
  <si>
    <t xml:space="preserve">Changes in Working Capital</t>
  </si>
  <si>
    <t xml:space="preserve">Other Non-Cash Items</t>
  </si>
  <si>
    <t xml:space="preserve">Cash from Operations</t>
  </si>
  <si>
    <t xml:space="preserve">INVESTING ACTIVITIES</t>
  </si>
  <si>
    <t xml:space="preserve">Capital Expenditures</t>
  </si>
  <si>
    <t xml:space="preserve">Acquisitions (net)</t>
  </si>
  <si>
    <t xml:space="preserve">Cash from Investing</t>
  </si>
  <si>
    <t xml:space="preserve">FINANCING ACTIVITIES</t>
  </si>
  <si>
    <t xml:space="preserve">Debt Repayment</t>
  </si>
  <si>
    <t xml:space="preserve">Equity Issuance / (Buyback)</t>
  </si>
  <si>
    <t xml:space="preserve">Cash from Financing</t>
  </si>
  <si>
    <t xml:space="preserve">Net Change in Cash</t>
  </si>
  <si>
    <t xml:space="preserve">Opening Cash</t>
  </si>
  <si>
    <t xml:space="preserve">Closing Cash</t>
  </si>
  <si>
    <t xml:space="preserve">DEBT SCHEDULE  |  RevSpring, Inc.  ($M)</t>
  </si>
  <si>
    <t xml:space="preserve">TRANCHE DETAIL</t>
  </si>
  <si>
    <t xml:space="preserve">Senior Secured Term Loan B</t>
  </si>
  <si>
    <t xml:space="preserve">  Opening Balance</t>
  </si>
  <si>
    <t xml:space="preserve">  Interest Rate (SOFR+spread): 4.50%</t>
  </si>
  <si>
    <t xml:space="preserve">  Closing Balance</t>
  </si>
  <si>
    <t xml:space="preserve">Revolving Credit Facility</t>
  </si>
  <si>
    <t xml:space="preserve">  Interest Rate (SOFR+spread): 4.25%</t>
  </si>
  <si>
    <t xml:space="preserve">Second Lien / Mezz</t>
  </si>
  <si>
    <t xml:space="preserve">  Interest Rate (SOFR+spread): 8.25%</t>
  </si>
  <si>
    <t xml:space="preserve">Total Debt (Closing)</t>
  </si>
  <si>
    <t xml:space="preserve">COVENANT TRACKING</t>
  </si>
  <si>
    <t xml:space="preserve">Covenant Metric</t>
  </si>
  <si>
    <t xml:space="preserve">Net Debt</t>
  </si>
  <si>
    <t xml:space="preserve">EBITDA (from IS)</t>
  </si>
  <si>
    <t xml:space="preserve">Net Debt / EBITDA</t>
  </si>
  <si>
    <t xml:space="preserve">Covenant Limit</t>
  </si>
  <si>
    <t xml:space="preserve">Headroom</t>
  </si>
  <si>
    <t xml:space="preserve">LBO RETURNS ANALYSIS  |  RevSpring, Inc.</t>
  </si>
  <si>
    <t xml:space="preserve">ENTRY ASSUMPTIONS</t>
  </si>
  <si>
    <t xml:space="preserve">Entry Date</t>
  </si>
  <si>
    <t xml:space="preserve">March 2024</t>
  </si>
  <si>
    <t xml:space="preserve">Entry Enterprise Value ($M)</t>
  </si>
  <si>
    <t xml:space="preserve">$1,300.0</t>
  </si>
  <si>
    <t xml:space="preserve">Entry Net Debt ($M)</t>
  </si>
  <si>
    <t xml:space="preserve">$310.0</t>
  </si>
  <si>
    <t xml:space="preserve">Entry Equity Value ($M)</t>
  </si>
  <si>
    <t xml:space="preserve">$990.0</t>
  </si>
  <si>
    <t xml:space="preserve">Entry EBITDA ($M, FY2023A)</t>
  </si>
  <si>
    <t xml:space="preserve">$67.0</t>
  </si>
  <si>
    <t xml:space="preserve">Entry EV / EBITDA</t>
  </si>
  <si>
    <t xml:space="preserve">19.4x</t>
  </si>
  <si>
    <t xml:space="preserve">Entry EV / Revenue</t>
  </si>
  <si>
    <t xml:space="preserve">5.2x</t>
  </si>
  <si>
    <t xml:space="preserve">Management Rollover ($M)</t>
  </si>
  <si>
    <t xml:space="preserve">$45.0</t>
  </si>
  <si>
    <t xml:space="preserve">Frazier Equity Contribution ($M)</t>
  </si>
  <si>
    <t xml:space="preserve">$550.0</t>
  </si>
  <si>
    <t xml:space="preserve">Co-Invest (NEA + 22C) ($M)</t>
  </si>
  <si>
    <t xml:space="preserve">$180.0</t>
  </si>
  <si>
    <t xml:space="preserve">EXIT ASSUMPTIONS (SCENARIOS)</t>
  </si>
  <si>
    <t xml:space="preserve">Bear (5yr)</t>
  </si>
  <si>
    <t xml:space="preserve">Base (5yr)</t>
  </si>
  <si>
    <t xml:space="preserve">Bull (5yr)</t>
  </si>
  <si>
    <t xml:space="preserve">Base (4yr)</t>
  </si>
  <si>
    <t xml:space="preserve">Base (7yr)</t>
  </si>
  <si>
    <t xml:space="preserve">Hold Period (years)</t>
  </si>
  <si>
    <t xml:space="preserve">Exit EBITDA ($M)</t>
  </si>
  <si>
    <t xml:space="preserve">Exit EV/EBITDA Multiple</t>
  </si>
  <si>
    <t xml:space="preserve">Exit Enterprise Value ($M)</t>
  </si>
  <si>
    <t xml:space="preserve">Exit Net Debt ($M)</t>
  </si>
  <si>
    <t xml:space="preserve">Exit Equity Value ($M)</t>
  </si>
  <si>
    <t xml:space="preserve">RETURNS ANALYSIS</t>
  </si>
  <si>
    <t xml:space="preserve">Invested Equity ($M)</t>
  </si>
  <si>
    <t xml:space="preserve">Returned Equity ($M)</t>
  </si>
  <si>
    <t xml:space="preserve">MOIC</t>
  </si>
  <si>
    <t xml:space="preserve">IRR</t>
  </si>
  <si>
    <t xml:space="preserve">MOIC SENSITIVITY: EXIT MULTIPLE vs. EBITDA ($M)</t>
  </si>
  <si>
    <t xml:space="preserve">Exit Multiple ↓</t>
  </si>
  <si>
    <t xml:space="preserve">$76.7M</t>
  </si>
  <si>
    <t xml:space="preserve">$84.0M</t>
  </si>
  <si>
    <t xml:space="preserve">$91.8M</t>
  </si>
  <si>
    <t xml:space="preserve">$100.0M</t>
  </si>
  <si>
    <t xml:space="preserve">$110.6M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</si>
</sst>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\$#,##0.0;&quot;($&quot;#,##0.0\);\-"/>
    <numFmt numFmtId="167" formatCode="0.0%;\(0.0%\);\-"/>
    <numFmt numFmtId="168" formatCode="0.00%"/>
    <numFmt numFmtId="169" formatCode="0.0\x"/>
    <numFmt numFmtId="170" formatCode="0"/>
    <numFmt numFmtId="171" formatCode="0,##0.0;\(0,##0.0\);\-"/>
    <numFmt numFmtId="172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sz val="13"/>
      <color rgb="FFAACCEE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6DB4"/>
      <name val="Arial"/>
      <family val="0"/>
      <charset val="1"/>
    </font>
    <font>
      <b val="true"/>
      <sz val="10"/>
      <color rgb="FF2E6DB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57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9C0006"/>
      </patternFill>
    </fill>
    <fill>
      <patternFill patternType="solid">
        <fgColor rgb="FF006400"/>
        <bgColor rgb="FF1B3A5C"/>
      </patternFill>
    </fill>
    <fill>
      <patternFill patternType="solid">
        <fgColor rgb="FF2E6DB4"/>
        <bgColor rgb="FF0066CC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4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AACCEE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30"/>
    <col collapsed="false" customWidth="true" hidden="false" outlineLevel="0" max="4" min="4" style="1" width="25"/>
  </cols>
  <sheetData>
    <row r="1" customFormat="false" ht="19.5" hidden="false" customHeight="true" outlineLevel="0" collapsed="false"/>
    <row r="2" customFormat="false" ht="9.75" hidden="false" customHeight="true" outlineLevel="0" collapsed="false">
      <c r="B2" s="2"/>
      <c r="C2" s="2"/>
      <c r="D2" s="2"/>
      <c r="E2" s="2"/>
    </row>
    <row r="3" customFormat="false" ht="39.75" hidden="false" customHeight="true" outlineLevel="0" collapsed="false">
      <c r="B3" s="3" t="s">
        <v>0</v>
      </c>
      <c r="C3" s="3"/>
      <c r="D3" s="3"/>
      <c r="E3" s="3"/>
    </row>
    <row r="4" customFormat="false" ht="24" hidden="false" customHeight="true" outlineLevel="0" collapsed="false">
      <c r="B4" s="4" t="s">
        <v>1</v>
      </c>
      <c r="C4" s="4"/>
      <c r="D4" s="4"/>
      <c r="E4" s="4"/>
    </row>
    <row r="5" customFormat="false" ht="9.75" hidden="false" customHeight="true" outlineLevel="0" collapsed="false">
      <c r="B5" s="2"/>
      <c r="C5" s="2"/>
      <c r="D5" s="2"/>
      <c r="E5" s="2"/>
    </row>
    <row r="6" customFormat="false" ht="18" hidden="false" customHeight="true" outlineLevel="0" collapsed="false">
      <c r="B6" s="5" t="s">
        <v>2</v>
      </c>
      <c r="C6" s="5"/>
      <c r="D6" s="5"/>
      <c r="E6" s="5"/>
    </row>
    <row r="7" customFormat="false" ht="9.75" hidden="false" customHeight="true" outlineLevel="0" collapsed="false">
      <c r="B7" s="2"/>
      <c r="C7" s="2"/>
      <c r="D7" s="2"/>
      <c r="E7" s="2"/>
    </row>
    <row r="9" customFormat="false" ht="15" hidden="false" customHeight="true" outlineLevel="0" collapsed="false">
      <c r="B9" s="6" t="s">
        <v>3</v>
      </c>
      <c r="C9" s="6"/>
      <c r="D9" s="6"/>
    </row>
    <row r="10" customFormat="false" ht="18" hidden="false" customHeight="true" outlineLevel="0" collapsed="false">
      <c r="B10" s="7" t="s">
        <v>4</v>
      </c>
      <c r="C10" s="8" t="s">
        <v>0</v>
      </c>
      <c r="D10" s="8"/>
    </row>
    <row r="11" customFormat="false" ht="18" hidden="false" customHeight="true" outlineLevel="0" collapsed="false">
      <c r="B11" s="7" t="s">
        <v>5</v>
      </c>
      <c r="C11" s="8" t="s">
        <v>6</v>
      </c>
      <c r="D11" s="8"/>
    </row>
    <row r="12" customFormat="false" ht="18" hidden="false" customHeight="true" outlineLevel="0" collapsed="false">
      <c r="B12" s="7" t="s">
        <v>7</v>
      </c>
      <c r="C12" s="8" t="s">
        <v>8</v>
      </c>
      <c r="D12" s="8"/>
    </row>
    <row r="13" customFormat="false" ht="18" hidden="false" customHeight="true" outlineLevel="0" collapsed="false">
      <c r="B13" s="7" t="s">
        <v>9</v>
      </c>
      <c r="C13" s="8" t="s">
        <v>10</v>
      </c>
      <c r="D13" s="8"/>
    </row>
    <row r="14" customFormat="false" ht="18" hidden="false" customHeight="true" outlineLevel="0" collapsed="false">
      <c r="B14" s="7" t="s">
        <v>11</v>
      </c>
      <c r="C14" s="8" t="s">
        <v>12</v>
      </c>
      <c r="D14" s="8"/>
    </row>
    <row r="15" customFormat="false" ht="18" hidden="false" customHeight="true" outlineLevel="0" collapsed="false">
      <c r="B15" s="7" t="s">
        <v>13</v>
      </c>
      <c r="C15" s="9" t="s">
        <v>14</v>
      </c>
      <c r="D15" s="9"/>
    </row>
    <row r="16" customFormat="false" ht="18" hidden="false" customHeight="true" outlineLevel="0" collapsed="false">
      <c r="B16" s="7" t="s">
        <v>15</v>
      </c>
      <c r="C16" s="9" t="s">
        <v>16</v>
      </c>
      <c r="D16" s="9"/>
    </row>
    <row r="17" customFormat="false" ht="18" hidden="false" customHeight="true" outlineLevel="0" collapsed="false">
      <c r="B17" s="7" t="s">
        <v>17</v>
      </c>
      <c r="C17" s="8" t="s">
        <v>18</v>
      </c>
      <c r="D17" s="8"/>
    </row>
    <row r="18" customFormat="false" ht="18" hidden="false" customHeight="true" outlineLevel="0" collapsed="false">
      <c r="B18" s="7" t="s">
        <v>19</v>
      </c>
      <c r="C18" s="9" t="s">
        <v>20</v>
      </c>
      <c r="D18" s="9"/>
    </row>
    <row r="19" customFormat="false" ht="18" hidden="false" customHeight="true" outlineLevel="0" collapsed="false">
      <c r="B19" s="7" t="s">
        <v>21</v>
      </c>
      <c r="C19" s="9" t="s">
        <v>22</v>
      </c>
      <c r="D19" s="9"/>
    </row>
    <row r="20" customFormat="false" ht="18" hidden="false" customHeight="true" outlineLevel="0" collapsed="false">
      <c r="B20" s="7" t="s">
        <v>23</v>
      </c>
      <c r="C20" s="8" t="s">
        <v>24</v>
      </c>
      <c r="D20" s="8"/>
    </row>
    <row r="21" customFormat="false" ht="18" hidden="false" customHeight="true" outlineLevel="0" collapsed="false">
      <c r="B21" s="7" t="s">
        <v>25</v>
      </c>
      <c r="C21" s="8" t="s">
        <v>26</v>
      </c>
      <c r="D21" s="8"/>
    </row>
    <row r="22" customFormat="false" ht="18" hidden="false" customHeight="true" outlineLevel="0" collapsed="false">
      <c r="B22" s="7" t="s">
        <v>27</v>
      </c>
      <c r="C22" s="8" t="s">
        <v>28</v>
      </c>
      <c r="D22" s="8"/>
    </row>
    <row r="24" customFormat="false" ht="15" hidden="false" customHeight="true" outlineLevel="0" collapsed="false">
      <c r="B24" s="6" t="s">
        <v>29</v>
      </c>
      <c r="C24" s="6"/>
      <c r="D24" s="6"/>
    </row>
    <row r="25" customFormat="false" ht="18" hidden="false" customHeight="true" outlineLevel="0" collapsed="false">
      <c r="B25" s="10" t="s">
        <v>30</v>
      </c>
      <c r="C25" s="8" t="s">
        <v>31</v>
      </c>
      <c r="D25" s="8"/>
    </row>
    <row r="26" customFormat="false" ht="18" hidden="false" customHeight="true" outlineLevel="0" collapsed="false">
      <c r="B26" s="10" t="s">
        <v>32</v>
      </c>
      <c r="C26" s="8" t="s">
        <v>33</v>
      </c>
      <c r="D26" s="8"/>
    </row>
    <row r="27" customFormat="false" ht="18" hidden="false" customHeight="true" outlineLevel="0" collapsed="false">
      <c r="B27" s="10" t="s">
        <v>34</v>
      </c>
      <c r="C27" s="8" t="s">
        <v>35</v>
      </c>
      <c r="D27" s="8"/>
    </row>
    <row r="28" customFormat="false" ht="18" hidden="false" customHeight="true" outlineLevel="0" collapsed="false">
      <c r="B28" s="10" t="s">
        <v>36</v>
      </c>
      <c r="C28" s="8" t="s">
        <v>37</v>
      </c>
      <c r="D28" s="8"/>
    </row>
    <row r="29" customFormat="false" ht="18" hidden="false" customHeight="true" outlineLevel="0" collapsed="false">
      <c r="B29" s="10" t="s">
        <v>38</v>
      </c>
      <c r="C29" s="8" t="s">
        <v>39</v>
      </c>
      <c r="D29" s="8"/>
    </row>
    <row r="30" customFormat="false" ht="18" hidden="false" customHeight="true" outlineLevel="0" collapsed="false">
      <c r="B30" s="10" t="s">
        <v>40</v>
      </c>
      <c r="C30" s="8" t="s">
        <v>41</v>
      </c>
      <c r="D30" s="8"/>
    </row>
    <row r="31" customFormat="false" ht="18" hidden="false" customHeight="true" outlineLevel="0" collapsed="false">
      <c r="B31" s="10" t="s">
        <v>42</v>
      </c>
      <c r="C31" s="8" t="s">
        <v>43</v>
      </c>
      <c r="D31" s="8"/>
    </row>
    <row r="33" customFormat="false" ht="15" hidden="false" customHeight="true" outlineLevel="0" collapsed="false">
      <c r="B33" s="6" t="s">
        <v>44</v>
      </c>
      <c r="C33" s="6"/>
      <c r="D33" s="6"/>
    </row>
    <row r="34" customFormat="false" ht="18" hidden="false" customHeight="true" outlineLevel="0" collapsed="false">
      <c r="B34" s="11" t="s">
        <v>45</v>
      </c>
      <c r="C34" s="8" t="s">
        <v>46</v>
      </c>
      <c r="D34" s="8"/>
    </row>
    <row r="35" customFormat="false" ht="18" hidden="false" customHeight="true" outlineLevel="0" collapsed="false">
      <c r="B35" s="12" t="s">
        <v>47</v>
      </c>
      <c r="C35" s="8" t="s">
        <v>48</v>
      </c>
      <c r="D35" s="8"/>
    </row>
    <row r="36" customFormat="false" ht="18" hidden="false" customHeight="true" outlineLevel="0" collapsed="false">
      <c r="B36" s="13" t="s">
        <v>49</v>
      </c>
      <c r="C36" s="8" t="s">
        <v>50</v>
      </c>
      <c r="D36" s="8"/>
    </row>
    <row r="37" customFormat="false" ht="18" hidden="false" customHeight="true" outlineLevel="0" collapsed="false">
      <c r="B37" s="14" t="s">
        <v>51</v>
      </c>
      <c r="C37" s="8" t="s">
        <v>52</v>
      </c>
      <c r="D37" s="8"/>
    </row>
    <row r="38" customFormat="false" ht="18" hidden="false" customHeight="true" outlineLevel="0" collapsed="false">
      <c r="B38" s="15" t="s">
        <v>53</v>
      </c>
      <c r="C38" s="8" t="s">
        <v>54</v>
      </c>
      <c r="D38" s="8"/>
    </row>
  </sheetData>
  <mergeCells count="31">
    <mergeCell ref="B3:E3"/>
    <mergeCell ref="B4:E4"/>
    <mergeCell ref="B6:E6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B24:D24"/>
    <mergeCell ref="C25:D25"/>
    <mergeCell ref="C26:D26"/>
    <mergeCell ref="C27:D27"/>
    <mergeCell ref="C28:D28"/>
    <mergeCell ref="C29:D29"/>
    <mergeCell ref="C30:D30"/>
    <mergeCell ref="C31:D31"/>
    <mergeCell ref="B33:D33"/>
    <mergeCell ref="C34:D34"/>
    <mergeCell ref="C35:D35"/>
    <mergeCell ref="C36:D36"/>
    <mergeCell ref="C37:D37"/>
    <mergeCell ref="C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7" min="5" style="1" width="16"/>
  </cols>
  <sheetData>
    <row r="1" customFormat="false" ht="27.75" hidden="false" customHeight="true" outlineLevel="0" collapsed="false">
      <c r="B1" s="16" t="s">
        <v>55</v>
      </c>
      <c r="C1" s="16"/>
      <c r="D1" s="16"/>
      <c r="E1" s="16"/>
      <c r="F1" s="16"/>
      <c r="G1" s="16"/>
    </row>
    <row r="3" customFormat="false" ht="15" hidden="false" customHeight="true" outlineLevel="0" collapsed="false">
      <c r="B3" s="6" t="s">
        <v>56</v>
      </c>
      <c r="C3" s="6"/>
      <c r="D3" s="17" t="s">
        <v>57</v>
      </c>
      <c r="E3" s="18" t="s">
        <v>58</v>
      </c>
      <c r="F3" s="19" t="s">
        <v>59</v>
      </c>
    </row>
    <row r="4" customFormat="false" ht="15" hidden="false" customHeight="true" outlineLevel="0" collapsed="false">
      <c r="B4" s="7" t="s">
        <v>60</v>
      </c>
      <c r="C4" s="20" t="s">
        <v>58</v>
      </c>
      <c r="D4" s="21" t="s">
        <v>57</v>
      </c>
      <c r="E4" s="21" t="s">
        <v>58</v>
      </c>
      <c r="F4" s="21" t="s">
        <v>59</v>
      </c>
    </row>
    <row r="6" customFormat="false" ht="15" hidden="false" customHeight="true" outlineLevel="0" collapsed="false">
      <c r="B6" s="22" t="s">
        <v>61</v>
      </c>
      <c r="C6" s="22"/>
      <c r="D6" s="22"/>
      <c r="E6" s="22"/>
      <c r="F6" s="22"/>
      <c r="G6" s="22"/>
    </row>
    <row r="7" customFormat="false" ht="15" hidden="false" customHeight="true" outlineLevel="0" collapsed="false">
      <c r="B7" s="23" t="s">
        <v>62</v>
      </c>
      <c r="C7" s="23" t="s">
        <v>63</v>
      </c>
      <c r="D7" s="23" t="s">
        <v>64</v>
      </c>
      <c r="E7" s="23" t="s">
        <v>65</v>
      </c>
      <c r="F7" s="23" t="s">
        <v>66</v>
      </c>
      <c r="G7" s="23" t="s">
        <v>67</v>
      </c>
    </row>
    <row r="8" customFormat="false" ht="15" hidden="false" customHeight="true" outlineLevel="0" collapsed="false">
      <c r="B8" s="8" t="s">
        <v>68</v>
      </c>
      <c r="C8" s="24" t="n">
        <v>162.4</v>
      </c>
      <c r="D8" s="24" t="n">
        <v>188.7</v>
      </c>
      <c r="E8" s="24" t="n">
        <v>220.3</v>
      </c>
      <c r="F8" s="24" t="n">
        <v>248.1</v>
      </c>
      <c r="G8" s="24" t="n">
        <v>300</v>
      </c>
    </row>
    <row r="9" customFormat="false" ht="15" hidden="false" customHeight="true" outlineLevel="0" collapsed="false">
      <c r="B9" s="25" t="s">
        <v>69</v>
      </c>
      <c r="C9" s="26" t="str">
        <f aca="false">"-"</f>
        <v>-</v>
      </c>
      <c r="D9" s="27" t="n">
        <f aca="false">(Assumptions!D8-Assumptions!C8)/Assumptions!C8</f>
        <v>0.161945812807882</v>
      </c>
      <c r="E9" s="27" t="n">
        <f aca="false">(Assumptions!E8-Assumptions!D8)/Assumptions!D8</f>
        <v>0.167461579226285</v>
      </c>
      <c r="F9" s="27" t="n">
        <f aca="false">(Assumptions!F8-Assumptions!E8)/Assumptions!E8</f>
        <v>0.126191556967771</v>
      </c>
      <c r="G9" s="27" t="n">
        <f aca="false">(Assumptions!G8-Assumptions!F8)/Assumptions!F8</f>
        <v>0.20918984280532</v>
      </c>
    </row>
    <row r="10" customFormat="false" ht="15" hidden="false" customHeight="true" outlineLevel="0" collapsed="false">
      <c r="B10" s="8" t="s">
        <v>70</v>
      </c>
      <c r="C10" s="28" t="n">
        <v>0.78</v>
      </c>
      <c r="D10" s="28" t="n">
        <v>0.79</v>
      </c>
      <c r="E10" s="28" t="n">
        <v>0.8</v>
      </c>
      <c r="F10" s="28" t="n">
        <v>0.81</v>
      </c>
      <c r="G10" s="28" t="n">
        <v>0.82</v>
      </c>
    </row>
    <row r="11" customFormat="false" ht="15" hidden="false" customHeight="true" outlineLevel="0" collapsed="false">
      <c r="B11" s="8" t="s">
        <v>71</v>
      </c>
      <c r="C11" s="28" t="n">
        <v>1.05</v>
      </c>
      <c r="D11" s="28" t="n">
        <v>1.06</v>
      </c>
      <c r="E11" s="28" t="n">
        <v>1.07</v>
      </c>
      <c r="F11" s="28" t="n">
        <v>1.08</v>
      </c>
      <c r="G11" s="28" t="n">
        <v>1.08</v>
      </c>
    </row>
    <row r="13" customFormat="false" ht="15" hidden="false" customHeight="true" outlineLevel="0" collapsed="false">
      <c r="B13" s="22" t="s">
        <v>72</v>
      </c>
      <c r="C13" s="22"/>
      <c r="D13" s="22"/>
      <c r="E13" s="22"/>
      <c r="F13" s="22"/>
      <c r="G13" s="22"/>
    </row>
    <row r="14" customFormat="false" ht="26.25" hidden="false" customHeight="true" outlineLevel="0" collapsed="false">
      <c r="B14" s="23" t="s">
        <v>62</v>
      </c>
      <c r="C14" s="23" t="s">
        <v>57</v>
      </c>
      <c r="D14" s="23" t="s">
        <v>58</v>
      </c>
      <c r="E14" s="23" t="s">
        <v>59</v>
      </c>
      <c r="F14" s="29" t="s">
        <v>73</v>
      </c>
      <c r="G14" s="29" t="s">
        <v>74</v>
      </c>
    </row>
    <row r="15" customFormat="false" ht="15" hidden="false" customHeight="true" outlineLevel="0" collapsed="false">
      <c r="B15" s="25" t="s">
        <v>75</v>
      </c>
      <c r="C15" s="28" t="n">
        <v>0.08</v>
      </c>
      <c r="D15" s="28" t="n">
        <v>0.12</v>
      </c>
      <c r="E15" s="28" t="n">
        <v>0.16</v>
      </c>
      <c r="F15" s="27" t="n">
        <f aca="false">IF($C$4="Bear",C15,IF($C$4="Bull",E15,D15))</f>
        <v>0.12</v>
      </c>
      <c r="G15" s="27" t="n">
        <f aca="false">IF($C$4="Bear",C15,IF($C$4="Bull",E15,D15))</f>
        <v>0.12</v>
      </c>
    </row>
    <row r="16" customFormat="false" ht="15" hidden="false" customHeight="true" outlineLevel="0" collapsed="false">
      <c r="B16" s="25" t="s">
        <v>76</v>
      </c>
      <c r="C16" s="28" t="n">
        <v>0.08</v>
      </c>
      <c r="D16" s="28" t="n">
        <v>0.13</v>
      </c>
      <c r="E16" s="28" t="n">
        <v>0.16</v>
      </c>
      <c r="F16" s="27" t="n">
        <f aca="false">IF($C$4="Bear",C16,IF($C$4="Bull",E16,D16))</f>
        <v>0.13</v>
      </c>
      <c r="G16" s="27" t="n">
        <f aca="false">IF($C$4="Bear",C16,IF($C$4="Bull",E16,D16))</f>
        <v>0.13</v>
      </c>
    </row>
    <row r="17" customFormat="false" ht="15" hidden="false" customHeight="true" outlineLevel="0" collapsed="false">
      <c r="B17" s="25" t="s">
        <v>77</v>
      </c>
      <c r="C17" s="28" t="n">
        <v>0.525</v>
      </c>
      <c r="D17" s="28" t="n">
        <v>0.535</v>
      </c>
      <c r="E17" s="28" t="n">
        <v>0.545</v>
      </c>
      <c r="F17" s="27" t="n">
        <f aca="false">IF($C$4="Bear",C17,IF($C$4="Bull",E17,D17))</f>
        <v>0.535</v>
      </c>
      <c r="G17" s="27" t="n">
        <f aca="false">IF($C$4="Bear",C17,IF($C$4="Bull",E17,D17))</f>
        <v>0.535</v>
      </c>
    </row>
    <row r="18" customFormat="false" ht="15" hidden="false" customHeight="true" outlineLevel="0" collapsed="false">
      <c r="B18" s="25" t="s">
        <v>78</v>
      </c>
      <c r="C18" s="28" t="n">
        <v>0.53</v>
      </c>
      <c r="D18" s="28" t="n">
        <v>0.54</v>
      </c>
      <c r="E18" s="28" t="n">
        <v>0.55</v>
      </c>
      <c r="F18" s="27" t="n">
        <f aca="false">IF($C$4="Bear",C18,IF($C$4="Bull",E18,D18))</f>
        <v>0.54</v>
      </c>
      <c r="G18" s="27" t="n">
        <f aca="false">IF($C$4="Bear",C18,IF($C$4="Bull",E18,D18))</f>
        <v>0.54</v>
      </c>
    </row>
    <row r="19" customFormat="false" ht="15" hidden="false" customHeight="true" outlineLevel="0" collapsed="false">
      <c r="B19" s="25" t="s">
        <v>79</v>
      </c>
      <c r="C19" s="28" t="n">
        <v>0.26</v>
      </c>
      <c r="D19" s="28" t="n">
        <v>0.272</v>
      </c>
      <c r="E19" s="28" t="n">
        <v>0.28</v>
      </c>
      <c r="F19" s="27" t="n">
        <f aca="false">IF($C$4="Bear",C19,IF($C$4="Bull",E19,D19))</f>
        <v>0.272</v>
      </c>
      <c r="G19" s="27" t="n">
        <f aca="false">IF($C$4="Bear",C19,IF($C$4="Bull",E19,D19))</f>
        <v>0.272</v>
      </c>
    </row>
    <row r="20" customFormat="false" ht="15" hidden="false" customHeight="true" outlineLevel="0" collapsed="false">
      <c r="B20" s="25" t="s">
        <v>80</v>
      </c>
      <c r="C20" s="28" t="n">
        <v>0.262</v>
      </c>
      <c r="D20" s="28" t="n">
        <v>0.275</v>
      </c>
      <c r="E20" s="28" t="n">
        <v>0.285</v>
      </c>
      <c r="F20" s="27" t="n">
        <f aca="false">IF($C$4="Bear",C20,IF($C$4="Bull",E20,D20))</f>
        <v>0.275</v>
      </c>
      <c r="G20" s="27" t="n">
        <f aca="false">IF($C$4="Bear",C20,IF($C$4="Bull",E20,D20))</f>
        <v>0.275</v>
      </c>
    </row>
    <row r="21" customFormat="false" ht="15" hidden="false" customHeight="true" outlineLevel="0" collapsed="false">
      <c r="B21" s="25" t="s">
        <v>81</v>
      </c>
      <c r="C21" s="28" t="n">
        <v>0.082</v>
      </c>
      <c r="D21" s="28" t="n">
        <v>0.082</v>
      </c>
      <c r="E21" s="28" t="n">
        <v>0.082</v>
      </c>
      <c r="F21" s="27" t="n">
        <f aca="false">IF($C$4="Bear",C21,IF($C$4="Bull",E21,D21))</f>
        <v>0.082</v>
      </c>
      <c r="G21" s="27" t="n">
        <f aca="false">IF($C$4="Bear",C21,IF($C$4="Bull",E21,D21))</f>
        <v>0.082</v>
      </c>
    </row>
    <row r="22" customFormat="false" ht="15" hidden="false" customHeight="true" outlineLevel="0" collapsed="false">
      <c r="B22" s="25" t="s">
        <v>82</v>
      </c>
      <c r="C22" s="28" t="n">
        <v>0.085</v>
      </c>
      <c r="D22" s="28" t="n">
        <v>0.085</v>
      </c>
      <c r="E22" s="28" t="n">
        <v>0.085</v>
      </c>
      <c r="F22" s="27" t="n">
        <f aca="false">IF($C$4="Bear",C22,IF($C$4="Bull",E22,D22))</f>
        <v>0.085</v>
      </c>
      <c r="G22" s="27" t="n">
        <f aca="false">IF($C$4="Bear",C22,IF($C$4="Bull",E22,D22))</f>
        <v>0.085</v>
      </c>
    </row>
    <row r="23" customFormat="false" ht="15" hidden="false" customHeight="true" outlineLevel="0" collapsed="false">
      <c r="B23" s="25" t="s">
        <v>83</v>
      </c>
      <c r="C23" s="28" t="n">
        <v>0.25</v>
      </c>
      <c r="D23" s="28" t="n">
        <v>0.25</v>
      </c>
      <c r="E23" s="28" t="n">
        <v>0.25</v>
      </c>
      <c r="F23" s="27" t="n">
        <f aca="false">IF($C$4="Bear",C23,IF($C$4="Bull",E23,D23))</f>
        <v>0.25</v>
      </c>
      <c r="G23" s="27" t="n">
        <f aca="false">IF($C$4="Bear",C23,IF($C$4="Bull",E23,D23))</f>
        <v>0.25</v>
      </c>
    </row>
    <row r="25" customFormat="false" ht="15" hidden="false" customHeight="true" outlineLevel="0" collapsed="false">
      <c r="B25" s="22" t="s">
        <v>84</v>
      </c>
      <c r="C25" s="22"/>
      <c r="D25" s="22"/>
      <c r="E25" s="22"/>
      <c r="F25" s="22"/>
      <c r="G25" s="22"/>
    </row>
    <row r="26" customFormat="false" ht="15" hidden="false" customHeight="true" outlineLevel="0" collapsed="false">
      <c r="B26" s="23" t="s">
        <v>62</v>
      </c>
      <c r="C26" s="23" t="s">
        <v>63</v>
      </c>
      <c r="D26" s="23" t="s">
        <v>64</v>
      </c>
      <c r="E26" s="23" t="s">
        <v>65</v>
      </c>
      <c r="F26" s="23" t="s">
        <v>66</v>
      </c>
      <c r="G26" s="23" t="s">
        <v>67</v>
      </c>
    </row>
    <row r="27" customFormat="false" ht="15" hidden="false" customHeight="true" outlineLevel="0" collapsed="false">
      <c r="B27" s="25" t="s">
        <v>85</v>
      </c>
      <c r="C27" s="28" t="n">
        <v>0.5</v>
      </c>
      <c r="D27" s="28" t="n">
        <v>0.51</v>
      </c>
      <c r="E27" s="28" t="n">
        <v>0.52</v>
      </c>
      <c r="F27" s="28" t="n">
        <v>0.525</v>
      </c>
      <c r="G27" s="28" t="n">
        <v>0.53</v>
      </c>
    </row>
    <row r="28" customFormat="false" ht="15" hidden="false" customHeight="true" outlineLevel="0" collapsed="false">
      <c r="B28" s="25" t="s">
        <v>86</v>
      </c>
      <c r="C28" s="28" t="n">
        <v>0.235</v>
      </c>
      <c r="D28" s="28" t="n">
        <v>0.25</v>
      </c>
      <c r="E28" s="28" t="n">
        <v>0.26</v>
      </c>
      <c r="F28" s="28" t="n">
        <v>0.27</v>
      </c>
      <c r="G28" s="28" t="n">
        <v>0.275</v>
      </c>
    </row>
    <row r="29" customFormat="false" ht="15" hidden="false" customHeight="true" outlineLevel="0" collapsed="false">
      <c r="B29" s="25" t="s">
        <v>81</v>
      </c>
      <c r="C29" s="28" t="n">
        <v>0.087</v>
      </c>
      <c r="D29" s="28" t="n">
        <v>0.084</v>
      </c>
      <c r="E29" s="28" t="n">
        <v>0.083</v>
      </c>
      <c r="F29" s="28" t="n">
        <v>0.083</v>
      </c>
      <c r="G29" s="28" t="n">
        <v>0.08</v>
      </c>
    </row>
    <row r="30" customFormat="false" ht="15" hidden="false" customHeight="true" outlineLevel="0" collapsed="false">
      <c r="B30" s="25" t="s">
        <v>87</v>
      </c>
      <c r="C30" s="28" t="n">
        <v>0.04</v>
      </c>
      <c r="D30" s="28" t="n">
        <v>0.04</v>
      </c>
      <c r="E30" s="28" t="n">
        <v>0.038</v>
      </c>
      <c r="F30" s="28" t="n">
        <v>0.038</v>
      </c>
      <c r="G30" s="28" t="n">
        <v>0.036</v>
      </c>
    </row>
    <row r="31" customFormat="false" ht="15" hidden="false" customHeight="true" outlineLevel="0" collapsed="false">
      <c r="B31" s="25" t="s">
        <v>88</v>
      </c>
      <c r="C31" s="28" t="n">
        <v>0.06</v>
      </c>
      <c r="D31" s="28" t="n">
        <v>0.058</v>
      </c>
      <c r="E31" s="28" t="n">
        <v>0.056</v>
      </c>
      <c r="F31" s="28" t="n">
        <v>0.054</v>
      </c>
      <c r="G31" s="28" t="n">
        <v>0.052</v>
      </c>
    </row>
  </sheetData>
  <mergeCells count="5">
    <mergeCell ref="B1:G1"/>
    <mergeCell ref="B3:C3"/>
    <mergeCell ref="B6:G6"/>
    <mergeCell ref="B13:G13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9" min="3" style="1" width="14"/>
  </cols>
  <sheetData>
    <row r="1" customFormat="false" ht="25.5" hidden="false" customHeight="true" outlineLevel="0" collapsed="false">
      <c r="B1" s="30" t="s">
        <v>89</v>
      </c>
      <c r="C1" s="30"/>
      <c r="D1" s="30"/>
      <c r="E1" s="30"/>
      <c r="F1" s="30"/>
      <c r="G1" s="30"/>
      <c r="H1" s="30"/>
      <c r="I1" s="30"/>
    </row>
    <row r="3" customFormat="false" ht="15" hidden="false" customHeight="true" outlineLevel="0" collapsed="false">
      <c r="B3" s="6" t="s">
        <v>90</v>
      </c>
      <c r="C3" s="31" t="s">
        <v>63</v>
      </c>
      <c r="D3" s="31" t="s">
        <v>64</v>
      </c>
      <c r="E3" s="31" t="s">
        <v>65</v>
      </c>
      <c r="F3" s="31" t="s">
        <v>66</v>
      </c>
      <c r="G3" s="31" t="s">
        <v>67</v>
      </c>
      <c r="H3" s="31" t="s">
        <v>91</v>
      </c>
      <c r="I3" s="31" t="s">
        <v>92</v>
      </c>
    </row>
    <row r="4" customFormat="false" ht="15" hidden="false" customHeight="true" outlineLevel="0" collapsed="false">
      <c r="B4" s="22" t="s">
        <v>93</v>
      </c>
      <c r="C4" s="22"/>
      <c r="D4" s="22"/>
      <c r="E4" s="22"/>
      <c r="F4" s="22"/>
      <c r="G4" s="22"/>
      <c r="H4" s="22"/>
      <c r="I4" s="22"/>
    </row>
    <row r="5" customFormat="false" ht="15" hidden="false" customHeight="true" outlineLevel="0" collapsed="false">
      <c r="B5" s="25" t="s">
        <v>94</v>
      </c>
      <c r="C5" s="24" t="n">
        <v>78</v>
      </c>
      <c r="D5" s="24" t="n">
        <v>94.3</v>
      </c>
      <c r="E5" s="24" t="n">
        <v>114.6</v>
      </c>
      <c r="F5" s="24" t="n">
        <v>131.5</v>
      </c>
      <c r="G5" s="24" t="n">
        <v>165</v>
      </c>
      <c r="H5" s="32" t="n">
        <f aca="false">ROUND(H9*Assumptions!C27,1)</f>
        <v>169.5</v>
      </c>
      <c r="I5" s="32" t="n">
        <f aca="false">ROUND(I9*Assumptions!C27,1)</f>
        <v>260.2</v>
      </c>
    </row>
    <row r="6" customFormat="false" ht="15" hidden="false" customHeight="true" outlineLevel="0" collapsed="false">
      <c r="B6" s="25" t="s">
        <v>95</v>
      </c>
      <c r="C6" s="24" t="n">
        <v>45.5</v>
      </c>
      <c r="D6" s="24" t="n">
        <v>50.9</v>
      </c>
      <c r="E6" s="24" t="n">
        <v>57.3</v>
      </c>
      <c r="F6" s="24" t="n">
        <v>64.5</v>
      </c>
      <c r="G6" s="24" t="n">
        <v>75</v>
      </c>
      <c r="H6" s="32" t="n">
        <f aca="false">ROUND(H9*Assumptions!C28,1)</f>
        <v>79.7</v>
      </c>
      <c r="I6" s="32" t="n">
        <f aca="false">ROUND(I9*Assumptions!C28,1)</f>
        <v>122.3</v>
      </c>
    </row>
    <row r="7" customFormat="false" ht="15" hidden="false" customHeight="true" outlineLevel="0" collapsed="false">
      <c r="B7" s="25" t="s">
        <v>96</v>
      </c>
      <c r="C7" s="24" t="n">
        <v>27.6</v>
      </c>
      <c r="D7" s="24" t="n">
        <v>30.2</v>
      </c>
      <c r="E7" s="24" t="n">
        <v>33</v>
      </c>
      <c r="F7" s="24" t="n">
        <v>34.7</v>
      </c>
      <c r="G7" s="24" t="n">
        <v>39</v>
      </c>
      <c r="H7" s="32" t="n">
        <f aca="false">ROUND(H9*Assumptions!C29,1)</f>
        <v>29.5</v>
      </c>
      <c r="I7" s="32" t="n">
        <f aca="false">ROUND(I9*Assumptions!C29,1)</f>
        <v>45.3</v>
      </c>
    </row>
    <row r="8" customFormat="false" ht="15" hidden="false" customHeight="true" outlineLevel="0" collapsed="false">
      <c r="B8" s="25" t="s">
        <v>97</v>
      </c>
      <c r="C8" s="32" t="n">
        <f aca="false">C9-C5-C6-C7</f>
        <v>11.3</v>
      </c>
      <c r="D8" s="32" t="n">
        <f aca="false">D9-D5-D6-D7</f>
        <v>13.3</v>
      </c>
      <c r="E8" s="32" t="n">
        <f aca="false">E9-E5-E6-E7</f>
        <v>15.4</v>
      </c>
      <c r="F8" s="32" t="n">
        <f aca="false">F9-F5-F6-F7</f>
        <v>17.4</v>
      </c>
      <c r="G8" s="32" t="n">
        <f aca="false">G9-G5-G6-G7</f>
        <v>21</v>
      </c>
      <c r="H8" s="32" t="n">
        <f aca="false">H9-H5-H6-H7</f>
        <v>60.3</v>
      </c>
      <c r="I8" s="32" t="n">
        <f aca="false">I9-I5-I6-I7</f>
        <v>92.6</v>
      </c>
    </row>
    <row r="9" customFormat="false" ht="15" hidden="false" customHeight="true" outlineLevel="0" collapsed="false">
      <c r="B9" s="14" t="s">
        <v>98</v>
      </c>
      <c r="C9" s="33" t="n">
        <v>162.4</v>
      </c>
      <c r="D9" s="33" t="n">
        <v>188.7</v>
      </c>
      <c r="E9" s="33" t="n">
        <v>220.3</v>
      </c>
      <c r="F9" s="33" t="n">
        <v>248.1</v>
      </c>
      <c r="G9" s="33" t="n">
        <v>300</v>
      </c>
      <c r="H9" s="33" t="n">
        <f aca="false">ROUND(G9*(1+Assumptions!F16),1)</f>
        <v>339</v>
      </c>
      <c r="I9" s="33" t="n">
        <f aca="false">ROUND(H9*(1+Assumptions!F17),1)</f>
        <v>520.4</v>
      </c>
    </row>
    <row r="10" customFormat="false" ht="15" hidden="false" customHeight="true" outlineLevel="0" collapsed="false">
      <c r="B10" s="34" t="s">
        <v>69</v>
      </c>
      <c r="C10" s="35" t="str">
        <f aca="false">"-"</f>
        <v>-</v>
      </c>
      <c r="D10" s="36" t="n">
        <f aca="false">(D9-C9)/C9</f>
        <v>0.161945812807882</v>
      </c>
      <c r="E10" s="36" t="n">
        <f aca="false">(E9-D9)/D9</f>
        <v>0.167461579226285</v>
      </c>
      <c r="F10" s="36" t="n">
        <f aca="false">(F9-E9)/E9</f>
        <v>0.126191556967771</v>
      </c>
      <c r="G10" s="36" t="n">
        <f aca="false">(G9-F9)/F9</f>
        <v>0.20918984280532</v>
      </c>
      <c r="H10" s="36" t="n">
        <f aca="false">(H9-G9)/G9</f>
        <v>0.13</v>
      </c>
      <c r="I10" s="36" t="n">
        <f aca="false">(I9-H9)/H9</f>
        <v>0.535103244837758</v>
      </c>
    </row>
    <row r="11" customFormat="false" ht="15" hidden="false" customHeight="true" outlineLevel="0" collapsed="false">
      <c r="B11" s="22" t="s">
        <v>99</v>
      </c>
      <c r="C11" s="22"/>
      <c r="D11" s="22"/>
      <c r="E11" s="22"/>
      <c r="F11" s="22"/>
      <c r="G11" s="22"/>
      <c r="H11" s="22"/>
      <c r="I11" s="22"/>
    </row>
    <row r="12" customFormat="false" ht="15" hidden="false" customHeight="true" outlineLevel="0" collapsed="false">
      <c r="B12" s="25" t="s">
        <v>100</v>
      </c>
      <c r="C12" s="32" t="n">
        <f aca="false">C9-C13</f>
        <v>81.2</v>
      </c>
      <c r="D12" s="32" t="n">
        <f aca="false">D9-D13</f>
        <v>92.5</v>
      </c>
      <c r="E12" s="32" t="n">
        <f aca="false">E9-E13</f>
        <v>105.7</v>
      </c>
      <c r="F12" s="32" t="n">
        <f aca="false">F9-F13</f>
        <v>117.8</v>
      </c>
      <c r="G12" s="32" t="n">
        <f aca="false">G9-G13</f>
        <v>141</v>
      </c>
      <c r="H12" s="32" t="n">
        <f aca="false">H9-H13</f>
        <v>310.9</v>
      </c>
      <c r="I12" s="32" t="n">
        <f aca="false">I9-I13</f>
        <v>477.2</v>
      </c>
    </row>
    <row r="13" customFormat="false" ht="15" hidden="false" customHeight="true" outlineLevel="0" collapsed="false">
      <c r="B13" s="14" t="s">
        <v>101</v>
      </c>
      <c r="C13" s="37" t="n">
        <v>81.2</v>
      </c>
      <c r="D13" s="37" t="n">
        <v>96.2</v>
      </c>
      <c r="E13" s="37" t="n">
        <v>114.6</v>
      </c>
      <c r="F13" s="37" t="n">
        <v>130.3</v>
      </c>
      <c r="G13" s="37" t="n">
        <v>159</v>
      </c>
      <c r="H13" s="38" t="n">
        <f aca="false">ROUND(H9*Assumptions!F29,1)</f>
        <v>28.1</v>
      </c>
      <c r="I13" s="38" t="n">
        <f aca="false">ROUND(I9*Assumptions!F29,1)</f>
        <v>43.2</v>
      </c>
    </row>
    <row r="14" customFormat="false" ht="15" hidden="false" customHeight="true" outlineLevel="0" collapsed="false">
      <c r="B14" s="34" t="s">
        <v>102</v>
      </c>
      <c r="C14" s="36" t="n">
        <f aca="false">C13/C9</f>
        <v>0.5</v>
      </c>
      <c r="D14" s="36" t="n">
        <f aca="false">D13/D9</f>
        <v>0.509803921568628</v>
      </c>
      <c r="E14" s="36" t="n">
        <f aca="false">E13/E9</f>
        <v>0.520199727644122</v>
      </c>
      <c r="F14" s="36" t="n">
        <f aca="false">F13/F9</f>
        <v>0.525191455058444</v>
      </c>
      <c r="G14" s="36" t="n">
        <f aca="false">G13/G9</f>
        <v>0.53</v>
      </c>
      <c r="H14" s="36" t="n">
        <f aca="false">H13/H9</f>
        <v>0.0828908554572271</v>
      </c>
      <c r="I14" s="36" t="n">
        <f aca="false">I13/I9</f>
        <v>0.0830130668716372</v>
      </c>
    </row>
    <row r="15" customFormat="false" ht="15" hidden="false" customHeight="true" outlineLevel="0" collapsed="false">
      <c r="B15" s="22" t="s">
        <v>103</v>
      </c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B16" s="25" t="s">
        <v>104</v>
      </c>
      <c r="C16" s="24" t="n">
        <v>13</v>
      </c>
      <c r="D16" s="24" t="n">
        <v>15.1</v>
      </c>
      <c r="E16" s="24" t="n">
        <v>17.6</v>
      </c>
      <c r="F16" s="24" t="n">
        <v>19.8</v>
      </c>
      <c r="G16" s="24" t="n">
        <v>24</v>
      </c>
      <c r="H16" s="32" t="n">
        <f aca="false">ROUND(H9*0.08,1)</f>
        <v>27.1</v>
      </c>
      <c r="I16" s="32" t="n">
        <f aca="false">ROUND(I9*0.08,1)</f>
        <v>41.6</v>
      </c>
    </row>
    <row r="17" customFormat="false" ht="15" hidden="false" customHeight="true" outlineLevel="0" collapsed="false">
      <c r="B17" s="25" t="s">
        <v>105</v>
      </c>
      <c r="C17" s="24" t="n">
        <v>8.1</v>
      </c>
      <c r="D17" s="24" t="n">
        <v>9.4</v>
      </c>
      <c r="E17" s="24" t="n">
        <v>11</v>
      </c>
      <c r="F17" s="24" t="n">
        <v>12.4</v>
      </c>
      <c r="G17" s="24" t="n">
        <v>15</v>
      </c>
      <c r="H17" s="32" t="n">
        <f aca="false">ROUND(H9*0.05,1)</f>
        <v>17</v>
      </c>
      <c r="I17" s="32" t="n">
        <f aca="false">ROUND(I9*0.05,1)</f>
        <v>26</v>
      </c>
    </row>
    <row r="18" customFormat="false" ht="15" hidden="false" customHeight="true" outlineLevel="0" collapsed="false">
      <c r="B18" s="25" t="s">
        <v>106</v>
      </c>
      <c r="C18" s="32" t="n">
        <f aca="false">C19-C16-C17</f>
        <v>21.9</v>
      </c>
      <c r="D18" s="32" t="n">
        <f aca="false">D19-D16-D17</f>
        <v>24.5</v>
      </c>
      <c r="E18" s="32" t="n">
        <f aca="false">E19-E16-E17</f>
        <v>28.7</v>
      </c>
      <c r="F18" s="32" t="n">
        <f aca="false">F19-F16-F17</f>
        <v>31.1</v>
      </c>
      <c r="G18" s="32" t="n">
        <f aca="false">G19-G16-G17</f>
        <v>37.5</v>
      </c>
      <c r="H18" s="32" t="n">
        <f aca="false">H19-H16-H17</f>
        <v>-44.1</v>
      </c>
      <c r="I18" s="32" t="n">
        <f aca="false">I19-I16-I17</f>
        <v>-67.6</v>
      </c>
    </row>
    <row r="19" customFormat="false" ht="15" hidden="false" customHeight="true" outlineLevel="0" collapsed="false">
      <c r="B19" s="25" t="s">
        <v>107</v>
      </c>
      <c r="C19" s="32" t="n">
        <f aca="false">C13-C20</f>
        <v>43</v>
      </c>
      <c r="D19" s="32" t="n">
        <f aca="false">D13-D20</f>
        <v>49</v>
      </c>
      <c r="E19" s="32" t="n">
        <f aca="false">E13-E20</f>
        <v>57.3</v>
      </c>
      <c r="F19" s="32" t="n">
        <f aca="false">F13-F20</f>
        <v>63.3</v>
      </c>
      <c r="G19" s="32" t="n">
        <f aca="false">G13-G20</f>
        <v>76.5</v>
      </c>
      <c r="H19" s="32" t="n">
        <f aca="false">H13-H20</f>
        <v>0</v>
      </c>
      <c r="I19" s="32" t="n">
        <f aca="false">I13-I20</f>
        <v>0</v>
      </c>
    </row>
    <row r="20" customFormat="false" ht="15" hidden="false" customHeight="true" outlineLevel="0" collapsed="false">
      <c r="B20" s="14" t="s">
        <v>108</v>
      </c>
      <c r="C20" s="37" t="n">
        <v>38.2</v>
      </c>
      <c r="D20" s="37" t="n">
        <v>47.2</v>
      </c>
      <c r="E20" s="37" t="n">
        <v>57.3</v>
      </c>
      <c r="F20" s="37" t="n">
        <v>67</v>
      </c>
      <c r="G20" s="37" t="n">
        <v>82.5</v>
      </c>
      <c r="H20" s="38" t="n">
        <f aca="false">ROUND(H9*Assumptions!F29,1)</f>
        <v>28.1</v>
      </c>
      <c r="I20" s="38" t="n">
        <f aca="false">ROUND(I9*Assumptions!F29,1)</f>
        <v>43.2</v>
      </c>
    </row>
    <row r="21" customFormat="false" ht="15" hidden="false" customHeight="true" outlineLevel="0" collapsed="false">
      <c r="B21" s="34" t="s">
        <v>109</v>
      </c>
      <c r="C21" s="36" t="n">
        <f aca="false">C20/C9</f>
        <v>0.235221674876847</v>
      </c>
      <c r="D21" s="36" t="n">
        <f aca="false">D20/D9</f>
        <v>0.250132485426603</v>
      </c>
      <c r="E21" s="36" t="n">
        <f aca="false">E20/E9</f>
        <v>0.260099863822061</v>
      </c>
      <c r="F21" s="36" t="n">
        <f aca="false">F20/F9</f>
        <v>0.270052398226522</v>
      </c>
      <c r="G21" s="36" t="n">
        <f aca="false">G20/G9</f>
        <v>0.275</v>
      </c>
      <c r="H21" s="36" t="n">
        <f aca="false">H20/H9</f>
        <v>0.0828908554572271</v>
      </c>
      <c r="I21" s="36" t="n">
        <f aca="false">I20/I9</f>
        <v>0.0830130668716372</v>
      </c>
    </row>
    <row r="22" customFormat="false" ht="15" hidden="false" customHeight="true" outlineLevel="0" collapsed="false">
      <c r="B22" s="22" t="s">
        <v>110</v>
      </c>
      <c r="C22" s="22"/>
      <c r="D22" s="22"/>
      <c r="E22" s="22"/>
      <c r="F22" s="22"/>
      <c r="G22" s="22"/>
      <c r="H22" s="22"/>
      <c r="I22" s="22"/>
    </row>
    <row r="23" customFormat="false" ht="15" hidden="false" customHeight="true" outlineLevel="0" collapsed="false">
      <c r="B23" s="25" t="s">
        <v>111</v>
      </c>
      <c r="C23" s="24" t="n">
        <v>14.1</v>
      </c>
      <c r="D23" s="24" t="n">
        <v>15.9</v>
      </c>
      <c r="E23" s="24" t="n">
        <v>18.2</v>
      </c>
      <c r="F23" s="24" t="n">
        <v>20.6</v>
      </c>
      <c r="G23" s="24" t="n">
        <v>24</v>
      </c>
      <c r="H23" s="32" t="n">
        <f aca="false">ROUND(H9*Assumptions!C30,1)</f>
        <v>13.6</v>
      </c>
      <c r="I23" s="32" t="n">
        <f aca="false">ROUND(I9*Assumptions!C30,1)</f>
        <v>20.8</v>
      </c>
    </row>
    <row r="24" customFormat="false" ht="15" hidden="false" customHeight="true" outlineLevel="0" collapsed="false">
      <c r="B24" s="14" t="s">
        <v>112</v>
      </c>
      <c r="C24" s="38" t="n">
        <f aca="false">C20-C23</f>
        <v>24.1</v>
      </c>
      <c r="D24" s="38" t="n">
        <f aca="false">D20-D23</f>
        <v>31.3</v>
      </c>
      <c r="E24" s="38" t="n">
        <f aca="false">E20-E23</f>
        <v>39.1</v>
      </c>
      <c r="F24" s="38" t="n">
        <f aca="false">F20-F23</f>
        <v>46.4</v>
      </c>
      <c r="G24" s="38" t="n">
        <f aca="false">G20-G23</f>
        <v>58.5</v>
      </c>
      <c r="H24" s="38" t="n">
        <f aca="false">H20-H23</f>
        <v>14.5</v>
      </c>
      <c r="I24" s="38" t="n">
        <f aca="false">I20-I23</f>
        <v>22.4</v>
      </c>
    </row>
    <row r="25" customFormat="false" ht="15" hidden="false" customHeight="true" outlineLevel="0" collapsed="false">
      <c r="B25" s="25" t="s">
        <v>113</v>
      </c>
      <c r="C25" s="24" t="n">
        <v>18.2</v>
      </c>
      <c r="D25" s="24" t="n">
        <v>18.6</v>
      </c>
      <c r="E25" s="24" t="n">
        <v>20.1</v>
      </c>
      <c r="F25" s="24" t="n">
        <v>22.4</v>
      </c>
      <c r="G25" s="24" t="n">
        <v>24.1</v>
      </c>
      <c r="H25" s="32" t="n">
        <f aca="false">ROUND('Debt Schedule'!H15*Assumptions!C31,1)</f>
        <v>0</v>
      </c>
      <c r="I25" s="32" t="n">
        <f aca="false">ROUND('Debt Schedule'!I15*Assumptions!C31,1)</f>
        <v>0</v>
      </c>
    </row>
    <row r="26" customFormat="false" ht="15" hidden="false" customHeight="true" outlineLevel="0" collapsed="false">
      <c r="B26" s="25" t="s">
        <v>114</v>
      </c>
      <c r="C26" s="32" t="n">
        <f aca="false">C24-C25</f>
        <v>5.9</v>
      </c>
      <c r="D26" s="32" t="n">
        <f aca="false">D24-D25</f>
        <v>12.7</v>
      </c>
      <c r="E26" s="32" t="n">
        <f aca="false">E24-E25</f>
        <v>19</v>
      </c>
      <c r="F26" s="32" t="n">
        <f aca="false">F24-F25</f>
        <v>24</v>
      </c>
      <c r="G26" s="32" t="n">
        <f aca="false">G24-G25</f>
        <v>34.4</v>
      </c>
      <c r="H26" s="32" t="n">
        <f aca="false">H24-H25</f>
        <v>14.5</v>
      </c>
      <c r="I26" s="32" t="n">
        <f aca="false">I24-I25</f>
        <v>22.4</v>
      </c>
    </row>
    <row r="27" customFormat="false" ht="15" hidden="false" customHeight="true" outlineLevel="0" collapsed="false">
      <c r="B27" s="25" t="s">
        <v>115</v>
      </c>
      <c r="C27" s="32" t="n">
        <f aca="false">IF(C26&gt;0,C26*Assumptions!C31,0)</f>
        <v>0.354</v>
      </c>
      <c r="D27" s="32" t="n">
        <f aca="false">IF(D26&gt;0,D26*Assumptions!C31,0)</f>
        <v>0.762</v>
      </c>
      <c r="E27" s="32" t="n">
        <f aca="false">IF(E26&gt;0,E26*Assumptions!C31,0)</f>
        <v>1.14</v>
      </c>
      <c r="F27" s="32" t="n">
        <f aca="false">IF(F26&gt;0,F26*Assumptions!C31,0)</f>
        <v>1.44</v>
      </c>
      <c r="G27" s="32" t="n">
        <f aca="false">IF(G26&gt;0,G26*Assumptions!C31,0)</f>
        <v>2.064</v>
      </c>
      <c r="H27" s="32" t="n">
        <f aca="false">IF(H26&gt;0,H26*Assumptions!C31,0)</f>
        <v>0.87</v>
      </c>
      <c r="I27" s="32" t="n">
        <f aca="false">IF(I26&gt;0,I26*Assumptions!C31,0)</f>
        <v>1.344</v>
      </c>
    </row>
    <row r="28" customFormat="false" ht="15" hidden="false" customHeight="true" outlineLevel="0" collapsed="false">
      <c r="B28" s="14" t="s">
        <v>116</v>
      </c>
      <c r="C28" s="38" t="n">
        <f aca="false">C26-C27</f>
        <v>5.546</v>
      </c>
      <c r="D28" s="38" t="n">
        <f aca="false">D26-D27</f>
        <v>11.938</v>
      </c>
      <c r="E28" s="38" t="n">
        <f aca="false">E26-E27</f>
        <v>17.86</v>
      </c>
      <c r="F28" s="38" t="n">
        <f aca="false">F26-F27</f>
        <v>22.56</v>
      </c>
      <c r="G28" s="38" t="n">
        <f aca="false">G26-G27</f>
        <v>32.336</v>
      </c>
      <c r="H28" s="38" t="n">
        <f aca="false">H26-H27</f>
        <v>13.63</v>
      </c>
      <c r="I28" s="38" t="n">
        <f aca="false">I26-I27</f>
        <v>21.056</v>
      </c>
    </row>
    <row r="29" customFormat="false" ht="15" hidden="false" customHeight="true" outlineLevel="0" collapsed="false">
      <c r="B29" s="34" t="s">
        <v>117</v>
      </c>
      <c r="C29" s="36" t="n">
        <f aca="false">IF(C9&gt;0,C28/C9,0)</f>
        <v>0.0341502463054187</v>
      </c>
      <c r="D29" s="36" t="n">
        <f aca="false">IF(D9&gt;0,D28/D9,0)</f>
        <v>0.0632644409114998</v>
      </c>
      <c r="E29" s="36" t="n">
        <f aca="false">IF(E9&gt;0,E28/E9,0)</f>
        <v>0.0810712664548343</v>
      </c>
      <c r="F29" s="36" t="n">
        <f aca="false">IF(F9&gt;0,F28/F9,0)</f>
        <v>0.0909310761789601</v>
      </c>
      <c r="G29" s="36" t="n">
        <f aca="false">IF(G9&gt;0,G28/G9,0)</f>
        <v>0.107786666666667</v>
      </c>
      <c r="H29" s="36" t="n">
        <f aca="false">IF(H9&gt;0,H28/H9,0)</f>
        <v>0.0402064896755162</v>
      </c>
      <c r="I29" s="36" t="n">
        <f aca="false">IF(I9&gt;0,I28/I9,0)</f>
        <v>0.0404611837048424</v>
      </c>
    </row>
  </sheetData>
  <mergeCells count="5">
    <mergeCell ref="B1:I1"/>
    <mergeCell ref="B4:I4"/>
    <mergeCell ref="B11:I11"/>
    <mergeCell ref="B15:I15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9" min="3" style="1" width="14"/>
  </cols>
  <sheetData>
    <row r="1" customFormat="false" ht="25.5" hidden="false" customHeight="true" outlineLevel="0" collapsed="false">
      <c r="B1" s="30" t="s">
        <v>118</v>
      </c>
      <c r="C1" s="30"/>
      <c r="D1" s="30"/>
      <c r="E1" s="30"/>
      <c r="F1" s="30"/>
      <c r="G1" s="30"/>
      <c r="H1" s="30"/>
      <c r="I1" s="30"/>
    </row>
    <row r="3" customFormat="false" ht="15" hidden="false" customHeight="true" outlineLevel="0" collapsed="false">
      <c r="B3" s="6" t="s">
        <v>90</v>
      </c>
      <c r="C3" s="31" t="s">
        <v>63</v>
      </c>
      <c r="D3" s="31" t="s">
        <v>64</v>
      </c>
      <c r="E3" s="31" t="s">
        <v>65</v>
      </c>
      <c r="F3" s="31" t="s">
        <v>66</v>
      </c>
      <c r="G3" s="31" t="s">
        <v>67</v>
      </c>
      <c r="H3" s="31" t="s">
        <v>91</v>
      </c>
      <c r="I3" s="31" t="s">
        <v>92</v>
      </c>
    </row>
    <row r="4" customFormat="false" ht="15" hidden="false" customHeight="true" outlineLevel="0" collapsed="false">
      <c r="B4" s="22" t="s">
        <v>119</v>
      </c>
      <c r="C4" s="22"/>
      <c r="D4" s="22"/>
      <c r="E4" s="22"/>
      <c r="F4" s="22"/>
      <c r="G4" s="22"/>
      <c r="H4" s="22"/>
      <c r="I4" s="22"/>
    </row>
    <row r="5" customFormat="false" ht="15" hidden="false" customHeight="true" outlineLevel="0" collapsed="false">
      <c r="B5" s="25" t="s">
        <v>120</v>
      </c>
      <c r="C5" s="24" t="n">
        <v>18.2</v>
      </c>
      <c r="D5" s="24" t="n">
        <v>22.1</v>
      </c>
      <c r="E5" s="24" t="n">
        <v>26.4</v>
      </c>
      <c r="F5" s="24" t="n">
        <v>18.7</v>
      </c>
      <c r="G5" s="24" t="n">
        <v>28.5</v>
      </c>
      <c r="H5" s="32" t="n">
        <f aca="false">ROUND(G5*1.05,1)</f>
        <v>29.9</v>
      </c>
      <c r="I5" s="32" t="n">
        <f aca="false">ROUND(H5*1.05,1)</f>
        <v>31.4</v>
      </c>
    </row>
    <row r="6" customFormat="false" ht="15" hidden="false" customHeight="true" outlineLevel="0" collapsed="false">
      <c r="B6" s="25" t="s">
        <v>121</v>
      </c>
      <c r="C6" s="24" t="n">
        <v>19.5</v>
      </c>
      <c r="D6" s="24" t="n">
        <v>22.6</v>
      </c>
      <c r="E6" s="24" t="n">
        <v>26.4</v>
      </c>
      <c r="F6" s="24" t="n">
        <v>29.8</v>
      </c>
      <c r="G6" s="24" t="n">
        <v>36</v>
      </c>
      <c r="H6" s="32" t="n">
        <f aca="false">ROUND(G6*1.05,1)</f>
        <v>37.8</v>
      </c>
      <c r="I6" s="32" t="n">
        <f aca="false">ROUND(H6*1.05,1)</f>
        <v>39.7</v>
      </c>
    </row>
    <row r="7" customFormat="false" ht="15" hidden="false" customHeight="true" outlineLevel="0" collapsed="false">
      <c r="B7" s="25" t="s">
        <v>122</v>
      </c>
      <c r="C7" s="24" t="n">
        <v>6.2</v>
      </c>
      <c r="D7" s="24" t="n">
        <v>7.1</v>
      </c>
      <c r="E7" s="24" t="n">
        <v>8.3</v>
      </c>
      <c r="F7" s="24" t="n">
        <v>9.4</v>
      </c>
      <c r="G7" s="24" t="n">
        <v>11.4</v>
      </c>
      <c r="H7" s="32" t="n">
        <f aca="false">ROUND(G7*1.05,1)</f>
        <v>12</v>
      </c>
      <c r="I7" s="32" t="n">
        <f aca="false">ROUND(H7*1.05,1)</f>
        <v>12.6</v>
      </c>
    </row>
    <row r="8" customFormat="false" ht="15" hidden="false" customHeight="true" outlineLevel="0" collapsed="false">
      <c r="B8" s="14" t="s">
        <v>123</v>
      </c>
      <c r="C8" s="39" t="n">
        <f aca="false">SUM(C5:C7)</f>
        <v>43.9</v>
      </c>
      <c r="D8" s="39" t="n">
        <f aca="false">SUM(D5:D7)</f>
        <v>51.8</v>
      </c>
      <c r="E8" s="39" t="n">
        <f aca="false">SUM(E5:E7)</f>
        <v>61.1</v>
      </c>
      <c r="F8" s="39" t="n">
        <f aca="false">SUM(F5:F7)</f>
        <v>57.9</v>
      </c>
      <c r="G8" s="39" t="n">
        <f aca="false">SUM(G5:G7)</f>
        <v>75.9</v>
      </c>
      <c r="H8" s="39" t="n">
        <f aca="false">SUM(H5:H7)</f>
        <v>79.7</v>
      </c>
      <c r="I8" s="39" t="n">
        <f aca="false">SUM(I5:I7)</f>
        <v>83.7</v>
      </c>
    </row>
    <row r="9" customFormat="false" ht="15" hidden="false" customHeight="true" outlineLevel="0" collapsed="false">
      <c r="B9" s="22" t="s">
        <v>124</v>
      </c>
      <c r="C9" s="22"/>
      <c r="D9" s="22"/>
      <c r="E9" s="22"/>
      <c r="F9" s="22"/>
      <c r="G9" s="22"/>
      <c r="H9" s="22"/>
      <c r="I9" s="22"/>
    </row>
    <row r="10" customFormat="false" ht="15" hidden="false" customHeight="true" outlineLevel="0" collapsed="false">
      <c r="B10" s="25" t="s">
        <v>125</v>
      </c>
      <c r="C10" s="24" t="n">
        <v>22.4</v>
      </c>
      <c r="D10" s="24" t="n">
        <v>24.1</v>
      </c>
      <c r="E10" s="24" t="n">
        <v>26.8</v>
      </c>
      <c r="F10" s="24" t="n">
        <v>28.9</v>
      </c>
      <c r="G10" s="24" t="n">
        <v>33</v>
      </c>
      <c r="H10" s="32" t="n">
        <f aca="false">ROUND(G10*1.02,1)</f>
        <v>33.7</v>
      </c>
      <c r="I10" s="32" t="n">
        <f aca="false">ROUND(H10*1.02,1)</f>
        <v>34.4</v>
      </c>
    </row>
    <row r="11" customFormat="false" ht="15" hidden="false" customHeight="true" outlineLevel="0" collapsed="false">
      <c r="B11" s="25" t="s">
        <v>126</v>
      </c>
      <c r="C11" s="24" t="n">
        <v>189.2</v>
      </c>
      <c r="D11" s="24" t="n">
        <v>190.8</v>
      </c>
      <c r="E11" s="24" t="n">
        <v>192.1</v>
      </c>
      <c r="F11" s="24" t="n">
        <v>189.4</v>
      </c>
      <c r="G11" s="24" t="n">
        <v>187</v>
      </c>
      <c r="H11" s="32" t="n">
        <f aca="false">ROUND(G11*1.02,1)</f>
        <v>190.7</v>
      </c>
      <c r="I11" s="32" t="n">
        <f aca="false">ROUND(H11*1.02,1)</f>
        <v>194.5</v>
      </c>
    </row>
    <row r="12" customFormat="false" ht="15" hidden="false" customHeight="true" outlineLevel="0" collapsed="false">
      <c r="B12" s="25" t="s">
        <v>127</v>
      </c>
      <c r="C12" s="24" t="n">
        <v>8.4</v>
      </c>
      <c r="D12" s="24" t="n">
        <v>9.1</v>
      </c>
      <c r="E12" s="24" t="n">
        <v>10.2</v>
      </c>
      <c r="F12" s="24" t="n">
        <v>11.3</v>
      </c>
      <c r="G12" s="24" t="n">
        <v>12.8</v>
      </c>
      <c r="H12" s="32" t="n">
        <f aca="false">ROUND(G12*1.02,1)</f>
        <v>13.1</v>
      </c>
      <c r="I12" s="32" t="n">
        <f aca="false">ROUND(H12*1.02,1)</f>
        <v>13.4</v>
      </c>
    </row>
    <row r="13" customFormat="false" ht="15" hidden="false" customHeight="true" outlineLevel="0" collapsed="false">
      <c r="B13" s="14" t="s">
        <v>128</v>
      </c>
      <c r="C13" s="39" t="n">
        <f aca="false">C8+SUM(C10:C12)</f>
        <v>263.9</v>
      </c>
      <c r="D13" s="39" t="n">
        <f aca="false">D8+SUM(D10:D12)</f>
        <v>275.8</v>
      </c>
      <c r="E13" s="39" t="n">
        <f aca="false">E8+SUM(E10:E12)</f>
        <v>290.2</v>
      </c>
      <c r="F13" s="39" t="n">
        <f aca="false">F8+SUM(F10:F12)</f>
        <v>287.5</v>
      </c>
      <c r="G13" s="39" t="n">
        <f aca="false">G8+SUM(G10:G12)</f>
        <v>308.7</v>
      </c>
      <c r="H13" s="39" t="n">
        <f aca="false">H8+SUM(H10:H12)</f>
        <v>317.2</v>
      </c>
      <c r="I13" s="39" t="n">
        <f aca="false">I8+SUM(I10:I12)</f>
        <v>326</v>
      </c>
    </row>
    <row r="14" customFormat="false" ht="15" hidden="false" customHeight="true" outlineLevel="0" collapsed="false">
      <c r="B14" s="22" t="s">
        <v>129</v>
      </c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B15" s="25" t="s">
        <v>130</v>
      </c>
      <c r="C15" s="24" t="n">
        <v>8.1</v>
      </c>
      <c r="D15" s="24" t="n">
        <v>9.3</v>
      </c>
      <c r="E15" s="24" t="n">
        <v>10.8</v>
      </c>
      <c r="F15" s="24" t="n">
        <v>12.2</v>
      </c>
      <c r="G15" s="24" t="n">
        <v>14.7</v>
      </c>
      <c r="H15" s="32" t="n">
        <f aca="false">ROUND(G15*1.03,1)</f>
        <v>15.1</v>
      </c>
      <c r="I15" s="32" t="n">
        <f aca="false">ROUND(H15*1.03,1)</f>
        <v>15.6</v>
      </c>
    </row>
    <row r="16" customFormat="false" ht="15" hidden="false" customHeight="true" outlineLevel="0" collapsed="false">
      <c r="B16" s="25" t="s">
        <v>131</v>
      </c>
      <c r="C16" s="24" t="n">
        <v>14.2</v>
      </c>
      <c r="D16" s="24" t="n">
        <v>16.5</v>
      </c>
      <c r="E16" s="24" t="n">
        <v>19.3</v>
      </c>
      <c r="F16" s="24" t="n">
        <v>21.7</v>
      </c>
      <c r="G16" s="24" t="n">
        <v>26.2</v>
      </c>
      <c r="H16" s="32" t="n">
        <f aca="false">ROUND(G16*1.03,1)</f>
        <v>27</v>
      </c>
      <c r="I16" s="32" t="n">
        <f aca="false">ROUND(H16*1.03,1)</f>
        <v>27.8</v>
      </c>
    </row>
    <row r="17" customFormat="false" ht="15" hidden="false" customHeight="true" outlineLevel="0" collapsed="false">
      <c r="B17" s="25" t="s">
        <v>132</v>
      </c>
      <c r="C17" s="24" t="n">
        <v>9.4</v>
      </c>
      <c r="D17" s="24" t="n">
        <v>10.9</v>
      </c>
      <c r="E17" s="24" t="n">
        <v>12.7</v>
      </c>
      <c r="F17" s="24" t="n">
        <v>14.3</v>
      </c>
      <c r="G17" s="24" t="n">
        <v>17.3</v>
      </c>
      <c r="H17" s="32" t="n">
        <f aca="false">ROUND(G17*1.03,1)</f>
        <v>17.8</v>
      </c>
      <c r="I17" s="32" t="n">
        <f aca="false">ROUND(H17*1.03,1)</f>
        <v>18.3</v>
      </c>
    </row>
    <row r="18" customFormat="false" ht="15" hidden="false" customHeight="true" outlineLevel="0" collapsed="false">
      <c r="B18" s="25" t="s">
        <v>133</v>
      </c>
      <c r="C18" s="24" t="n">
        <v>310</v>
      </c>
      <c r="D18" s="24" t="n">
        <v>308.5</v>
      </c>
      <c r="E18" s="24" t="n">
        <v>307</v>
      </c>
      <c r="F18" s="24" t="n">
        <v>310</v>
      </c>
      <c r="G18" s="24" t="n">
        <v>306</v>
      </c>
      <c r="H18" s="32" t="n">
        <f aca="false">ROUND(G18*1.03,1)</f>
        <v>315.2</v>
      </c>
      <c r="I18" s="32" t="n">
        <f aca="false">ROUND(H18*1.03,1)</f>
        <v>324.7</v>
      </c>
    </row>
    <row r="19" customFormat="false" ht="15" hidden="false" customHeight="true" outlineLevel="0" collapsed="false">
      <c r="B19" s="14" t="s">
        <v>134</v>
      </c>
      <c r="C19" s="39" t="n">
        <f aca="false">SUM(C15:C18)</f>
        <v>341.7</v>
      </c>
      <c r="D19" s="39" t="n">
        <f aca="false">SUM(D15:D18)</f>
        <v>345.2</v>
      </c>
      <c r="E19" s="39" t="n">
        <f aca="false">SUM(E15:E18)</f>
        <v>349.8</v>
      </c>
      <c r="F19" s="39" t="n">
        <f aca="false">SUM(F15:F18)</f>
        <v>358.2</v>
      </c>
      <c r="G19" s="39" t="n">
        <f aca="false">SUM(G15:G18)</f>
        <v>364.2</v>
      </c>
      <c r="H19" s="39" t="n">
        <f aca="false">SUM(H15:H18)</f>
        <v>375.1</v>
      </c>
      <c r="I19" s="39" t="n">
        <f aca="false">SUM(I15:I18)</f>
        <v>386.4</v>
      </c>
    </row>
    <row r="20" customFormat="false" ht="15" hidden="false" customHeight="true" outlineLevel="0" collapsed="false">
      <c r="B20" s="22" t="s">
        <v>135</v>
      </c>
      <c r="C20" s="22"/>
      <c r="D20" s="22"/>
      <c r="E20" s="22"/>
      <c r="F20" s="22"/>
      <c r="G20" s="22"/>
      <c r="H20" s="22"/>
      <c r="I20" s="22"/>
    </row>
    <row r="21" customFormat="false" ht="15" hidden="false" customHeight="true" outlineLevel="0" collapsed="false">
      <c r="B21" s="25" t="s">
        <v>136</v>
      </c>
      <c r="C21" s="24" t="n">
        <v>680</v>
      </c>
      <c r="D21" s="24" t="n">
        <v>680</v>
      </c>
      <c r="E21" s="24" t="n">
        <v>680</v>
      </c>
      <c r="F21" s="24" t="n">
        <v>680</v>
      </c>
      <c r="G21" s="24" t="n">
        <v>680</v>
      </c>
      <c r="H21" s="32" t="n">
        <f aca="false">G21+'Income Statement'!G28</f>
        <v>712.336</v>
      </c>
      <c r="I21" s="32" t="n">
        <f aca="false">H21+'Income Statement'!H28</f>
        <v>725.966</v>
      </c>
    </row>
    <row r="22" customFormat="false" ht="15" hidden="false" customHeight="true" outlineLevel="0" collapsed="false">
      <c r="B22" s="25" t="s">
        <v>137</v>
      </c>
      <c r="C22" s="24" t="n">
        <v>-388.2</v>
      </c>
      <c r="D22" s="24" t="n">
        <v>-371.8</v>
      </c>
      <c r="E22" s="24" t="n">
        <v>-350.2</v>
      </c>
      <c r="F22" s="24" t="n">
        <v>-322.6</v>
      </c>
      <c r="G22" s="24" t="n">
        <v>-278.5</v>
      </c>
      <c r="H22" s="32" t="n">
        <f aca="false">G22+'Income Statement'!G28</f>
        <v>-246.164</v>
      </c>
      <c r="I22" s="32" t="n">
        <f aca="false">H22+'Income Statement'!H28</f>
        <v>-232.534</v>
      </c>
    </row>
    <row r="23" customFormat="false" ht="15" hidden="false" customHeight="true" outlineLevel="0" collapsed="false">
      <c r="B23" s="14" t="s">
        <v>138</v>
      </c>
      <c r="C23" s="39" t="n">
        <f aca="false">C21+C22</f>
        <v>291.8</v>
      </c>
      <c r="D23" s="39" t="n">
        <f aca="false">D21+D22</f>
        <v>308.2</v>
      </c>
      <c r="E23" s="39" t="n">
        <f aca="false">E21+E22</f>
        <v>329.8</v>
      </c>
      <c r="F23" s="39" t="n">
        <f aca="false">F21+F22</f>
        <v>357.4</v>
      </c>
      <c r="G23" s="39" t="n">
        <f aca="false">G21+G22</f>
        <v>401.5</v>
      </c>
      <c r="H23" s="39" t="n">
        <f aca="false">H21+H22</f>
        <v>466.172</v>
      </c>
      <c r="I23" s="39" t="n">
        <f aca="false">I21+I22</f>
        <v>493.432</v>
      </c>
    </row>
    <row r="24" customFormat="false" ht="15" hidden="false" customHeight="true" outlineLevel="0" collapsed="false">
      <c r="B24" s="14" t="s">
        <v>139</v>
      </c>
      <c r="C24" s="39" t="n">
        <f aca="false">C19+C23</f>
        <v>633.5</v>
      </c>
      <c r="D24" s="39" t="n">
        <f aca="false">D19+D23</f>
        <v>653.4</v>
      </c>
      <c r="E24" s="39" t="n">
        <f aca="false">E19+E23</f>
        <v>679.6</v>
      </c>
      <c r="F24" s="39" t="n">
        <f aca="false">F19+F23</f>
        <v>715.6</v>
      </c>
      <c r="G24" s="39" t="n">
        <f aca="false">G19+G23</f>
        <v>765.7</v>
      </c>
      <c r="H24" s="39" t="n">
        <f aca="false">H19+H23</f>
        <v>841.272</v>
      </c>
      <c r="I24" s="39" t="n">
        <f aca="false">I19+I23</f>
        <v>879.832</v>
      </c>
    </row>
    <row r="25" customFormat="false" ht="15" hidden="false" customHeight="true" outlineLevel="0" collapsed="false">
      <c r="B25" s="40" t="s">
        <v>140</v>
      </c>
      <c r="C25" s="41" t="n">
        <f aca="false">C13-C24</f>
        <v>-369.6</v>
      </c>
      <c r="D25" s="41" t="n">
        <f aca="false">D13-D24</f>
        <v>-377.6</v>
      </c>
      <c r="E25" s="41" t="n">
        <f aca="false">E13-E24</f>
        <v>-389.4</v>
      </c>
      <c r="F25" s="41" t="n">
        <f aca="false">F13-F24</f>
        <v>-428.1</v>
      </c>
      <c r="G25" s="41" t="n">
        <f aca="false">G13-G24</f>
        <v>-457</v>
      </c>
      <c r="H25" s="41" t="n">
        <f aca="false">H13-H24</f>
        <v>-524.072</v>
      </c>
      <c r="I25" s="41" t="n">
        <f aca="false">I13-I24</f>
        <v>-553.832</v>
      </c>
    </row>
  </sheetData>
  <mergeCells count="5">
    <mergeCell ref="B1:I1"/>
    <mergeCell ref="B4:I4"/>
    <mergeCell ref="B9:I9"/>
    <mergeCell ref="B14:I14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9" min="3" style="1" width="14"/>
  </cols>
  <sheetData>
    <row r="1" customFormat="false" ht="25.5" hidden="false" customHeight="true" outlineLevel="0" collapsed="false">
      <c r="B1" s="30" t="s">
        <v>141</v>
      </c>
      <c r="C1" s="30"/>
      <c r="D1" s="30"/>
      <c r="E1" s="30"/>
      <c r="F1" s="30"/>
      <c r="G1" s="30"/>
      <c r="H1" s="30"/>
      <c r="I1" s="30"/>
    </row>
    <row r="3" customFormat="false" ht="15" hidden="false" customHeight="true" outlineLevel="0" collapsed="false">
      <c r="B3" s="6" t="s">
        <v>90</v>
      </c>
      <c r="C3" s="31" t="s">
        <v>63</v>
      </c>
      <c r="D3" s="31" t="s">
        <v>64</v>
      </c>
      <c r="E3" s="31" t="s">
        <v>65</v>
      </c>
      <c r="F3" s="31" t="s">
        <v>66</v>
      </c>
      <c r="G3" s="31" t="s">
        <v>67</v>
      </c>
      <c r="H3" s="31" t="s">
        <v>91</v>
      </c>
      <c r="I3" s="31" t="s">
        <v>92</v>
      </c>
    </row>
    <row r="4" customFormat="false" ht="15" hidden="false" customHeight="true" outlineLevel="0" collapsed="false">
      <c r="B4" s="22" t="s">
        <v>142</v>
      </c>
      <c r="C4" s="22"/>
      <c r="D4" s="22"/>
      <c r="E4" s="22"/>
      <c r="F4" s="22"/>
      <c r="G4" s="22"/>
      <c r="H4" s="22"/>
      <c r="I4" s="22"/>
    </row>
    <row r="5" customFormat="false" ht="15" hidden="false" customHeight="true" outlineLevel="0" collapsed="false">
      <c r="B5" s="25" t="s">
        <v>143</v>
      </c>
      <c r="C5" s="42" t="n">
        <f aca="false">'Income Statement'!C28</f>
        <v>5.546</v>
      </c>
      <c r="D5" s="42" t="n">
        <f aca="false">'Income Statement'!D28</f>
        <v>11.938</v>
      </c>
      <c r="E5" s="42" t="n">
        <f aca="false">'Income Statement'!E28</f>
        <v>17.86</v>
      </c>
      <c r="F5" s="42" t="n">
        <f aca="false">'Income Statement'!F28</f>
        <v>22.56</v>
      </c>
      <c r="G5" s="42" t="n">
        <f aca="false">'Income Statement'!G28</f>
        <v>32.336</v>
      </c>
      <c r="H5" s="42" t="n">
        <f aca="false">'Income Statement'!H28</f>
        <v>13.63</v>
      </c>
      <c r="I5" s="42" t="n">
        <f aca="false">'Income Statement'!I28</f>
        <v>21.056</v>
      </c>
    </row>
    <row r="6" customFormat="false" ht="15" hidden="false" customHeight="true" outlineLevel="0" collapsed="false">
      <c r="B6" s="25" t="s">
        <v>144</v>
      </c>
      <c r="C6" s="42" t="n">
        <f aca="false">'Income Statement'!C23</f>
        <v>14.1</v>
      </c>
      <c r="D6" s="42" t="n">
        <f aca="false">'Income Statement'!D23</f>
        <v>15.9</v>
      </c>
      <c r="E6" s="42" t="n">
        <f aca="false">'Income Statement'!E23</f>
        <v>18.2</v>
      </c>
      <c r="F6" s="42" t="n">
        <f aca="false">'Income Statement'!F23</f>
        <v>20.6</v>
      </c>
      <c r="G6" s="42" t="n">
        <f aca="false">'Income Statement'!G23</f>
        <v>24</v>
      </c>
      <c r="H6" s="42" t="n">
        <f aca="false">'Income Statement'!H23</f>
        <v>13.6</v>
      </c>
      <c r="I6" s="42" t="n">
        <f aca="false">'Income Statement'!I23</f>
        <v>20.8</v>
      </c>
    </row>
    <row r="7" customFormat="false" ht="15" hidden="false" customHeight="true" outlineLevel="0" collapsed="false">
      <c r="B7" s="25" t="s">
        <v>145</v>
      </c>
      <c r="C7" s="24" t="n">
        <v>-4.8</v>
      </c>
      <c r="D7" s="24" t="n">
        <v>-5.2</v>
      </c>
      <c r="E7" s="24" t="n">
        <v>-6.1</v>
      </c>
      <c r="F7" s="24" t="n">
        <v>-6.4</v>
      </c>
      <c r="G7" s="24" t="n">
        <v>-7.4</v>
      </c>
      <c r="H7" s="42" t="n">
        <f aca="false">ROUND(-'Income Statement'!H9*0.025,1)</f>
        <v>-8.5</v>
      </c>
      <c r="I7" s="42" t="n">
        <f aca="false">ROUND(-'Income Statement'!I9*0.025,1)</f>
        <v>-13</v>
      </c>
    </row>
    <row r="8" customFormat="false" ht="15" hidden="false" customHeight="true" outlineLevel="0" collapsed="false">
      <c r="B8" s="25" t="s">
        <v>146</v>
      </c>
      <c r="C8" s="24" t="n">
        <v>1.2</v>
      </c>
      <c r="D8" s="24" t="n">
        <v>1.4</v>
      </c>
      <c r="E8" s="24" t="n">
        <v>1.6</v>
      </c>
      <c r="F8" s="24" t="n">
        <v>1.8</v>
      </c>
      <c r="G8" s="24" t="n">
        <v>2.1</v>
      </c>
      <c r="H8" s="42" t="n">
        <f aca="false">ROUND('Income Statement'!H9*0.007,1)</f>
        <v>2.4</v>
      </c>
      <c r="I8" s="42" t="n">
        <f aca="false">ROUND('Income Statement'!I9*0.007,1)</f>
        <v>3.6</v>
      </c>
    </row>
    <row r="9" customFormat="false" ht="15" hidden="false" customHeight="true" outlineLevel="0" collapsed="false">
      <c r="B9" s="14" t="s">
        <v>147</v>
      </c>
      <c r="C9" s="39" t="n">
        <f aca="false">SUM(C5:C8)</f>
        <v>16.046</v>
      </c>
      <c r="D9" s="39" t="n">
        <f aca="false">SUM(D5:D8)</f>
        <v>24.038</v>
      </c>
      <c r="E9" s="39" t="n">
        <f aca="false">SUM(E5:E8)</f>
        <v>31.56</v>
      </c>
      <c r="F9" s="39" t="n">
        <f aca="false">SUM(F5:F8)</f>
        <v>38.56</v>
      </c>
      <c r="G9" s="39" t="n">
        <f aca="false">SUM(G5:G8)</f>
        <v>51.036</v>
      </c>
      <c r="H9" s="39" t="n">
        <f aca="false">SUM(H5:H8)</f>
        <v>21.13</v>
      </c>
      <c r="I9" s="39" t="n">
        <f aca="false">SUM(I5:I8)</f>
        <v>32.456</v>
      </c>
    </row>
    <row r="10" customFormat="false" ht="15" hidden="false" customHeight="true" outlineLevel="0" collapsed="false">
      <c r="B10" s="22" t="s">
        <v>148</v>
      </c>
      <c r="C10" s="22"/>
      <c r="D10" s="22"/>
      <c r="E10" s="22"/>
      <c r="F10" s="22"/>
      <c r="G10" s="22"/>
      <c r="H10" s="22"/>
      <c r="I10" s="22"/>
    </row>
    <row r="11" customFormat="false" ht="15" hidden="false" customHeight="true" outlineLevel="0" collapsed="false">
      <c r="B11" s="25" t="s">
        <v>149</v>
      </c>
      <c r="C11" s="24" t="n">
        <v>-6.5</v>
      </c>
      <c r="D11" s="24" t="n">
        <v>-7.5</v>
      </c>
      <c r="E11" s="24" t="n">
        <v>-8.4</v>
      </c>
      <c r="F11" s="24" t="n">
        <v>-9.4</v>
      </c>
      <c r="G11" s="24" t="n">
        <v>-10.8</v>
      </c>
      <c r="H11" s="32" t="n">
        <f aca="false">ROUND(-'Income Statement'!H9*Assumptions!C30,1)</f>
        <v>-13.6</v>
      </c>
      <c r="I11" s="32" t="n">
        <f aca="false">ROUND(-'Income Statement'!I9*Assumptions!C30,1)</f>
        <v>-20.8</v>
      </c>
    </row>
    <row r="12" customFormat="false" ht="15" hidden="false" customHeight="true" outlineLevel="0" collapsed="false">
      <c r="B12" s="25" t="s">
        <v>150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</row>
    <row r="13" customFormat="false" ht="15" hidden="false" customHeight="true" outlineLevel="0" collapsed="false">
      <c r="B13" s="14" t="s">
        <v>151</v>
      </c>
      <c r="C13" s="39" t="n">
        <f aca="false">C11+C12</f>
        <v>-6.5</v>
      </c>
      <c r="D13" s="39" t="n">
        <f aca="false">D11+D12</f>
        <v>-7.5</v>
      </c>
      <c r="E13" s="39" t="n">
        <f aca="false">E11+E12</f>
        <v>-8.4</v>
      </c>
      <c r="F13" s="39" t="n">
        <f aca="false">F11+F12</f>
        <v>-9.4</v>
      </c>
      <c r="G13" s="39" t="n">
        <f aca="false">G11+G12</f>
        <v>-10.8</v>
      </c>
      <c r="H13" s="39" t="n">
        <f aca="false">H11+H12</f>
        <v>-13.6</v>
      </c>
      <c r="I13" s="39" t="n">
        <f aca="false">I11+I12</f>
        <v>-20.8</v>
      </c>
    </row>
    <row r="14" customFormat="false" ht="15" hidden="false" customHeight="true" outlineLevel="0" collapsed="false">
      <c r="B14" s="22" t="s">
        <v>152</v>
      </c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B15" s="25" t="s">
        <v>153</v>
      </c>
      <c r="C15" s="24" t="n">
        <v>-1.5</v>
      </c>
      <c r="D15" s="24" t="n">
        <v>-1.5</v>
      </c>
      <c r="E15" s="24" t="n">
        <v>-1.5</v>
      </c>
      <c r="F15" s="24" t="n">
        <v>-1.5</v>
      </c>
      <c r="G15" s="24" t="n">
        <v>-4</v>
      </c>
      <c r="H15" s="24" t="n">
        <v>-4</v>
      </c>
      <c r="I15" s="24" t="n">
        <v>-4</v>
      </c>
    </row>
    <row r="16" customFormat="false" ht="15" hidden="false" customHeight="true" outlineLevel="0" collapsed="false">
      <c r="B16" s="25" t="s">
        <v>154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</row>
    <row r="17" customFormat="false" ht="15" hidden="false" customHeight="true" outlineLevel="0" collapsed="false">
      <c r="B17" s="14" t="s">
        <v>155</v>
      </c>
      <c r="C17" s="39" t="n">
        <f aca="false">C15+C16</f>
        <v>-1.5</v>
      </c>
      <c r="D17" s="39" t="n">
        <f aca="false">D15+D16</f>
        <v>-1.5</v>
      </c>
      <c r="E17" s="39" t="n">
        <f aca="false">E15+E16</f>
        <v>-1.5</v>
      </c>
      <c r="F17" s="39" t="n">
        <f aca="false">F15+F16</f>
        <v>-1.5</v>
      </c>
      <c r="G17" s="39" t="n">
        <f aca="false">G15+G16</f>
        <v>-4</v>
      </c>
      <c r="H17" s="39" t="n">
        <f aca="false">H15+H16</f>
        <v>-4</v>
      </c>
      <c r="I17" s="39" t="n">
        <f aca="false">I15+I16</f>
        <v>-4</v>
      </c>
    </row>
    <row r="19" customFormat="false" ht="15" hidden="false" customHeight="true" outlineLevel="0" collapsed="false">
      <c r="B19" s="14" t="s">
        <v>156</v>
      </c>
      <c r="C19" s="39" t="n">
        <f aca="false">C9+C13+C17</f>
        <v>8.046</v>
      </c>
      <c r="D19" s="39" t="n">
        <f aca="false">D9+D13+D17</f>
        <v>15.038</v>
      </c>
      <c r="E19" s="39" t="n">
        <f aca="false">E9+E13+E17</f>
        <v>21.66</v>
      </c>
      <c r="F19" s="39" t="n">
        <f aca="false">F9+F13+F17</f>
        <v>27.66</v>
      </c>
      <c r="G19" s="39" t="n">
        <f aca="false">G9+G13+G17</f>
        <v>36.236</v>
      </c>
      <c r="H19" s="39" t="n">
        <f aca="false">H9+H13+H17</f>
        <v>3.53</v>
      </c>
      <c r="I19" s="39" t="n">
        <f aca="false">I9+I13+I17</f>
        <v>7.656</v>
      </c>
    </row>
    <row r="20" customFormat="false" ht="15" hidden="false" customHeight="true" outlineLevel="0" collapsed="false">
      <c r="B20" s="25" t="s">
        <v>157</v>
      </c>
      <c r="C20" s="24" t="n">
        <v>14.2</v>
      </c>
      <c r="D20" s="24" t="n">
        <v>18.2</v>
      </c>
      <c r="E20" s="24" t="n">
        <v>22.1</v>
      </c>
      <c r="F20" s="24" t="n">
        <v>26.4</v>
      </c>
      <c r="G20" s="24" t="n">
        <v>18.7</v>
      </c>
      <c r="H20" s="42" t="n">
        <f aca="false">G21</f>
        <v>54.936</v>
      </c>
      <c r="I20" s="42" t="n">
        <f aca="false">H21</f>
        <v>58.466</v>
      </c>
    </row>
    <row r="21" customFormat="false" ht="15" hidden="false" customHeight="true" outlineLevel="0" collapsed="false">
      <c r="B21" s="14" t="s">
        <v>158</v>
      </c>
      <c r="C21" s="39" t="n">
        <f aca="false">C20+C19</f>
        <v>22.246</v>
      </c>
      <c r="D21" s="39" t="n">
        <f aca="false">D20+D19</f>
        <v>33.238</v>
      </c>
      <c r="E21" s="39" t="n">
        <f aca="false">E20+E19</f>
        <v>43.76</v>
      </c>
      <c r="F21" s="39" t="n">
        <f aca="false">F20+F19</f>
        <v>54.06</v>
      </c>
      <c r="G21" s="39" t="n">
        <f aca="false">G20+G19</f>
        <v>54.936</v>
      </c>
      <c r="H21" s="39" t="n">
        <f aca="false">H20+H19</f>
        <v>58.466</v>
      </c>
      <c r="I21" s="39" t="n">
        <f aca="false">I20+I19</f>
        <v>66.122</v>
      </c>
    </row>
  </sheetData>
  <mergeCells count="4">
    <mergeCell ref="B1:I1"/>
    <mergeCell ref="B4:I4"/>
    <mergeCell ref="B10:I10"/>
    <mergeCell ref="B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9" min="3" style="1" width="14"/>
  </cols>
  <sheetData>
    <row r="1" customFormat="false" ht="25.5" hidden="false" customHeight="true" outlineLevel="0" collapsed="false">
      <c r="B1" s="30" t="s">
        <v>159</v>
      </c>
      <c r="C1" s="30"/>
      <c r="D1" s="30"/>
      <c r="E1" s="30"/>
      <c r="F1" s="30"/>
      <c r="G1" s="30"/>
      <c r="H1" s="30"/>
      <c r="I1" s="30"/>
    </row>
    <row r="3" customFormat="false" ht="15" hidden="false" customHeight="true" outlineLevel="0" collapsed="false">
      <c r="B3" s="6" t="s">
        <v>90</v>
      </c>
      <c r="C3" s="31" t="s">
        <v>63</v>
      </c>
      <c r="D3" s="31" t="s">
        <v>64</v>
      </c>
      <c r="E3" s="31" t="s">
        <v>65</v>
      </c>
      <c r="F3" s="31" t="s">
        <v>66</v>
      </c>
      <c r="G3" s="31" t="s">
        <v>67</v>
      </c>
      <c r="H3" s="31" t="s">
        <v>91</v>
      </c>
      <c r="I3" s="31" t="s">
        <v>92</v>
      </c>
    </row>
    <row r="4" customFormat="false" ht="15" hidden="false" customHeight="true" outlineLevel="0" collapsed="false">
      <c r="B4" s="22" t="s">
        <v>160</v>
      </c>
      <c r="C4" s="22"/>
      <c r="D4" s="22"/>
      <c r="E4" s="22"/>
      <c r="F4" s="22"/>
      <c r="G4" s="22"/>
      <c r="H4" s="22"/>
      <c r="I4" s="22"/>
    </row>
    <row r="5" customFormat="false" ht="15" hidden="false" customHeight="true" outlineLevel="0" collapsed="false">
      <c r="B5" s="22" t="s">
        <v>161</v>
      </c>
      <c r="C5" s="22"/>
      <c r="D5" s="22"/>
      <c r="E5" s="22"/>
      <c r="F5" s="22"/>
      <c r="G5" s="22"/>
      <c r="H5" s="22"/>
      <c r="I5" s="22"/>
    </row>
    <row r="6" customFormat="false" ht="15" hidden="false" customHeight="true" outlineLevel="0" collapsed="false">
      <c r="B6" s="43" t="s">
        <v>162</v>
      </c>
      <c r="C6" s="24" t="n">
        <v>240</v>
      </c>
      <c r="D6" s="24" t="n">
        <v>238.8</v>
      </c>
      <c r="E6" s="24" t="n">
        <v>237.5</v>
      </c>
      <c r="F6" s="24" t="n">
        <v>236.3</v>
      </c>
      <c r="G6" s="24" t="n">
        <v>235</v>
      </c>
      <c r="H6" s="24" t="n">
        <v>233.8</v>
      </c>
      <c r="I6" s="24" t="n">
        <v>232.5</v>
      </c>
    </row>
    <row r="7" customFormat="false" ht="15" hidden="false" customHeight="true" outlineLevel="0" collapsed="false">
      <c r="B7" s="43" t="s">
        <v>163</v>
      </c>
      <c r="C7" s="44" t="n">
        <v>0.045</v>
      </c>
      <c r="D7" s="44" t="n">
        <v>0.045</v>
      </c>
      <c r="E7" s="44" t="n">
        <v>0.045</v>
      </c>
      <c r="F7" s="44" t="n">
        <v>0.045</v>
      </c>
      <c r="G7" s="44" t="n">
        <v>0.045</v>
      </c>
      <c r="H7" s="44" t="n">
        <v>0.045</v>
      </c>
      <c r="I7" s="44" t="n">
        <v>0.045</v>
      </c>
    </row>
    <row r="8" customFormat="false" ht="15" hidden="false" customHeight="true" outlineLevel="0" collapsed="false">
      <c r="B8" s="43" t="s">
        <v>164</v>
      </c>
      <c r="C8" s="24" t="n">
        <v>237.6</v>
      </c>
      <c r="D8" s="24" t="n">
        <v>236.4</v>
      </c>
      <c r="E8" s="24" t="n">
        <v>235.1</v>
      </c>
      <c r="F8" s="24" t="n">
        <v>233.9</v>
      </c>
      <c r="G8" s="24" t="n">
        <v>232.7</v>
      </c>
      <c r="H8" s="24" t="n">
        <v>231.5</v>
      </c>
      <c r="I8" s="24" t="n">
        <v>232.5</v>
      </c>
    </row>
    <row r="9" customFormat="false" ht="15" hidden="false" customHeight="true" outlineLevel="0" collapsed="false">
      <c r="B9" s="22" t="s">
        <v>165</v>
      </c>
      <c r="C9" s="22"/>
      <c r="D9" s="22"/>
      <c r="E9" s="22"/>
      <c r="F9" s="22"/>
      <c r="G9" s="22"/>
      <c r="H9" s="22"/>
      <c r="I9" s="22"/>
    </row>
    <row r="10" customFormat="false" ht="15" hidden="false" customHeight="true" outlineLevel="0" collapsed="false">
      <c r="B10" s="43" t="s">
        <v>162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</row>
    <row r="11" customFormat="false" ht="15" hidden="false" customHeight="true" outlineLevel="0" collapsed="false">
      <c r="B11" s="43" t="s">
        <v>166</v>
      </c>
      <c r="C11" s="44" t="n">
        <v>0.0425</v>
      </c>
      <c r="D11" s="44" t="n">
        <v>0.0425</v>
      </c>
      <c r="E11" s="44" t="n">
        <v>0.0425</v>
      </c>
      <c r="F11" s="44" t="n">
        <v>0.0425</v>
      </c>
      <c r="G11" s="44" t="n">
        <v>0.0425</v>
      </c>
      <c r="H11" s="44" t="n">
        <v>0.0425</v>
      </c>
      <c r="I11" s="44" t="n">
        <v>0.0425</v>
      </c>
    </row>
    <row r="12" customFormat="false" ht="15" hidden="false" customHeight="true" outlineLevel="0" collapsed="false">
      <c r="B12" s="43" t="s">
        <v>164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</row>
    <row r="13" customFormat="false" ht="15" hidden="false" customHeight="true" outlineLevel="0" collapsed="false">
      <c r="B13" s="22" t="s">
        <v>167</v>
      </c>
      <c r="C13" s="22"/>
      <c r="D13" s="22"/>
      <c r="E13" s="22"/>
      <c r="F13" s="22"/>
      <c r="G13" s="22"/>
      <c r="H13" s="22"/>
      <c r="I13" s="22"/>
    </row>
    <row r="14" customFormat="false" ht="15" hidden="false" customHeight="true" outlineLevel="0" collapsed="false">
      <c r="B14" s="43" t="s">
        <v>162</v>
      </c>
      <c r="C14" s="24" t="n">
        <v>70</v>
      </c>
      <c r="D14" s="24" t="n">
        <v>69.7</v>
      </c>
      <c r="E14" s="24" t="n">
        <v>69.5</v>
      </c>
      <c r="F14" s="24" t="n">
        <v>73.7</v>
      </c>
      <c r="G14" s="24" t="n">
        <v>71</v>
      </c>
      <c r="H14" s="24" t="n">
        <v>69</v>
      </c>
      <c r="I14" s="24" t="n">
        <v>67</v>
      </c>
    </row>
    <row r="15" customFormat="false" ht="15" hidden="false" customHeight="true" outlineLevel="0" collapsed="false">
      <c r="B15" s="43" t="s">
        <v>168</v>
      </c>
      <c r="C15" s="44" t="n">
        <v>0.0825</v>
      </c>
      <c r="D15" s="44" t="n">
        <v>0.0825</v>
      </c>
      <c r="E15" s="44" t="n">
        <v>0.0825</v>
      </c>
      <c r="F15" s="44" t="n">
        <v>0.0825</v>
      </c>
      <c r="G15" s="44" t="n">
        <v>0.0825</v>
      </c>
      <c r="H15" s="44" t="n">
        <v>0.0825</v>
      </c>
      <c r="I15" s="44" t="n">
        <v>0.0825</v>
      </c>
    </row>
    <row r="16" customFormat="false" ht="15" hidden="false" customHeight="true" outlineLevel="0" collapsed="false">
      <c r="B16" s="43" t="s">
        <v>164</v>
      </c>
      <c r="C16" s="24" t="n">
        <v>69.3</v>
      </c>
      <c r="D16" s="24" t="n">
        <v>69</v>
      </c>
      <c r="E16" s="24" t="n">
        <v>68.8</v>
      </c>
      <c r="F16" s="24" t="n">
        <v>73</v>
      </c>
      <c r="G16" s="24" t="n">
        <v>70.3</v>
      </c>
      <c r="H16" s="24" t="n">
        <v>68.3</v>
      </c>
      <c r="I16" s="24" t="n">
        <v>67</v>
      </c>
    </row>
    <row r="17" customFormat="false" ht="15" hidden="false" customHeight="true" outlineLevel="0" collapsed="false">
      <c r="B17" s="14" t="s">
        <v>169</v>
      </c>
      <c r="C17" s="39" t="n">
        <f aca="false">C8+C12+C16</f>
        <v>306.9</v>
      </c>
      <c r="D17" s="39" t="n">
        <f aca="false">D8+D12+D16</f>
        <v>305.4</v>
      </c>
      <c r="E17" s="39" t="n">
        <f aca="false">E8+E12+E16</f>
        <v>303.9</v>
      </c>
      <c r="F17" s="39" t="n">
        <f aca="false">F8+F12+F16</f>
        <v>306.9</v>
      </c>
      <c r="G17" s="39" t="n">
        <f aca="false">G8+G12+G16</f>
        <v>303</v>
      </c>
      <c r="H17" s="39" t="n">
        <f aca="false">H8+H12+H16</f>
        <v>299.8</v>
      </c>
      <c r="I17" s="39" t="n">
        <f aca="false">I8+I12+I16</f>
        <v>299.5</v>
      </c>
    </row>
    <row r="19" customFormat="false" ht="15" hidden="false" customHeight="true" outlineLevel="0" collapsed="false">
      <c r="B19" s="22" t="s">
        <v>170</v>
      </c>
      <c r="C19" s="22"/>
      <c r="D19" s="22"/>
      <c r="E19" s="22"/>
      <c r="F19" s="22"/>
      <c r="G19" s="22"/>
      <c r="H19" s="22"/>
      <c r="I19" s="22"/>
    </row>
    <row r="20" customFormat="false" ht="15" hidden="false" customHeight="true" outlineLevel="0" collapsed="false">
      <c r="B20" s="23" t="s">
        <v>171</v>
      </c>
      <c r="C20" s="45" t="s">
        <v>63</v>
      </c>
      <c r="D20" s="45" t="s">
        <v>64</v>
      </c>
      <c r="E20" s="45" t="s">
        <v>65</v>
      </c>
      <c r="F20" s="45" t="s">
        <v>66</v>
      </c>
      <c r="G20" s="45" t="s">
        <v>67</v>
      </c>
      <c r="H20" s="45" t="s">
        <v>91</v>
      </c>
      <c r="I20" s="45" t="s">
        <v>92</v>
      </c>
    </row>
    <row r="21" customFormat="false" ht="15" hidden="false" customHeight="true" outlineLevel="0" collapsed="false">
      <c r="B21" s="25" t="s">
        <v>172</v>
      </c>
      <c r="C21" s="32" t="n">
        <f aca="false">C17-'Balance Sheet'!C5</f>
        <v>288.7</v>
      </c>
      <c r="D21" s="32" t="n">
        <f aca="false">D17-'Balance Sheet'!D5</f>
        <v>283.3</v>
      </c>
      <c r="E21" s="32" t="n">
        <f aca="false">E17-'Balance Sheet'!E5</f>
        <v>277.5</v>
      </c>
      <c r="F21" s="32" t="n">
        <f aca="false">F17-'Balance Sheet'!F5</f>
        <v>288.2</v>
      </c>
      <c r="G21" s="32" t="n">
        <f aca="false">G17-'Balance Sheet'!G5</f>
        <v>274.5</v>
      </c>
      <c r="H21" s="32" t="n">
        <f aca="false">H17-'Balance Sheet'!H5</f>
        <v>269.9</v>
      </c>
      <c r="I21" s="32" t="n">
        <f aca="false">I17-'Balance Sheet'!I5</f>
        <v>268.1</v>
      </c>
    </row>
    <row r="22" customFormat="false" ht="15" hidden="false" customHeight="true" outlineLevel="0" collapsed="false">
      <c r="B22" s="25" t="s">
        <v>173</v>
      </c>
      <c r="C22" s="42" t="n">
        <f aca="false">'Income Statement'!C20</f>
        <v>38.2</v>
      </c>
      <c r="D22" s="42" t="n">
        <f aca="false">'Income Statement'!D20</f>
        <v>47.2</v>
      </c>
      <c r="E22" s="42" t="n">
        <f aca="false">'Income Statement'!E20</f>
        <v>57.3</v>
      </c>
      <c r="F22" s="42" t="n">
        <f aca="false">'Income Statement'!F20</f>
        <v>67</v>
      </c>
      <c r="G22" s="42" t="n">
        <f aca="false">'Income Statement'!G20</f>
        <v>82.5</v>
      </c>
      <c r="H22" s="42" t="n">
        <f aca="false">'Income Statement'!H20</f>
        <v>28.1</v>
      </c>
      <c r="I22" s="42" t="n">
        <f aca="false">'Income Statement'!I20</f>
        <v>43.2</v>
      </c>
    </row>
    <row r="23" customFormat="false" ht="15" hidden="false" customHeight="true" outlineLevel="0" collapsed="false">
      <c r="B23" s="14" t="s">
        <v>174</v>
      </c>
      <c r="C23" s="46" t="n">
        <f aca="false">IF(C22&gt;0,C21/C22,"-")</f>
        <v>7.55759162303665</v>
      </c>
      <c r="D23" s="46" t="n">
        <f aca="false">IF(D22&gt;0,D21/D22,"-")</f>
        <v>6.0021186440678</v>
      </c>
      <c r="E23" s="46" t="n">
        <f aca="false">IF(E22&gt;0,E21/E22,"-")</f>
        <v>4.84293193717278</v>
      </c>
      <c r="F23" s="46" t="n">
        <f aca="false">IF(F22&gt;0,F21/F22,"-")</f>
        <v>4.30149253731343</v>
      </c>
      <c r="G23" s="46" t="n">
        <f aca="false">IF(G22&gt;0,G21/G22,"-")</f>
        <v>3.32727272727273</v>
      </c>
      <c r="H23" s="46" t="n">
        <f aca="false">IF(H22&gt;0,H21/H22,"-")</f>
        <v>9.60498220640569</v>
      </c>
      <c r="I23" s="46" t="n">
        <f aca="false">IF(I22&gt;0,I21/I22,"-")</f>
        <v>6.20601851851852</v>
      </c>
    </row>
    <row r="24" customFormat="false" ht="15" hidden="false" customHeight="true" outlineLevel="0" collapsed="false">
      <c r="B24" s="25" t="s">
        <v>175</v>
      </c>
      <c r="C24" s="47" t="n">
        <v>6.5</v>
      </c>
      <c r="D24" s="47" t="n">
        <v>6.5</v>
      </c>
      <c r="E24" s="47" t="n">
        <v>6.5</v>
      </c>
      <c r="F24" s="47" t="n">
        <v>6.5</v>
      </c>
      <c r="G24" s="47" t="n">
        <v>6.5</v>
      </c>
      <c r="H24" s="47" t="n">
        <v>6.5</v>
      </c>
      <c r="I24" s="47" t="n">
        <v>6.5</v>
      </c>
    </row>
    <row r="25" customFormat="false" ht="15" hidden="false" customHeight="true" outlineLevel="0" collapsed="false">
      <c r="B25" s="25" t="s">
        <v>176</v>
      </c>
      <c r="C25" s="48" t="n">
        <f aca="false">IF(ISNUMBER(C23),C24-C23,"-")</f>
        <v>-1.05759162303665</v>
      </c>
      <c r="D25" s="48" t="n">
        <f aca="false">IF(ISNUMBER(D23),D24-D23,"-")</f>
        <v>0.497881355932205</v>
      </c>
      <c r="E25" s="48" t="n">
        <f aca="false">IF(ISNUMBER(E23),E24-E23,"-")</f>
        <v>1.65706806282723</v>
      </c>
      <c r="F25" s="48" t="n">
        <f aca="false">IF(ISNUMBER(F23),F24-F23,"-")</f>
        <v>2.19850746268657</v>
      </c>
      <c r="G25" s="48" t="n">
        <f aca="false">IF(ISNUMBER(G23),G24-G23,"-")</f>
        <v>3.17272727272727</v>
      </c>
      <c r="H25" s="48" t="n">
        <f aca="false">IF(ISNUMBER(H23),H24-H23,"-")</f>
        <v>-3.10498220640569</v>
      </c>
      <c r="I25" s="48" t="n">
        <f aca="false">IF(ISNUMBER(I23),I24-I23,"-")</f>
        <v>0.293981481481481</v>
      </c>
    </row>
  </sheetData>
  <mergeCells count="6">
    <mergeCell ref="B1:I1"/>
    <mergeCell ref="B4:I4"/>
    <mergeCell ref="B5:I5"/>
    <mergeCell ref="B9:I9"/>
    <mergeCell ref="B13:I13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8"/>
  </cols>
  <sheetData>
    <row r="1" customFormat="false" ht="25.5" hidden="false" customHeight="true" outlineLevel="0" collapsed="false">
      <c r="B1" s="30" t="s">
        <v>177</v>
      </c>
      <c r="C1" s="30"/>
      <c r="D1" s="30"/>
      <c r="E1" s="30"/>
      <c r="F1" s="30"/>
      <c r="G1" s="30"/>
    </row>
    <row r="3" customFormat="false" ht="15" hidden="false" customHeight="true" outlineLevel="0" collapsed="false">
      <c r="B3" s="22" t="s">
        <v>178</v>
      </c>
      <c r="C3" s="22"/>
      <c r="D3" s="22"/>
      <c r="E3" s="22"/>
      <c r="F3" s="22"/>
      <c r="G3" s="22"/>
    </row>
    <row r="4" customFormat="false" ht="18" hidden="false" customHeight="true" outlineLevel="0" collapsed="false">
      <c r="B4" s="25" t="s">
        <v>179</v>
      </c>
      <c r="C4" s="49" t="s">
        <v>180</v>
      </c>
      <c r="D4" s="49"/>
    </row>
    <row r="5" customFormat="false" ht="18" hidden="false" customHeight="true" outlineLevel="0" collapsed="false">
      <c r="B5" s="25" t="s">
        <v>181</v>
      </c>
      <c r="C5" s="49" t="s">
        <v>182</v>
      </c>
      <c r="D5" s="49"/>
    </row>
    <row r="6" customFormat="false" ht="18" hidden="false" customHeight="true" outlineLevel="0" collapsed="false">
      <c r="B6" s="25" t="s">
        <v>183</v>
      </c>
      <c r="C6" s="49" t="s">
        <v>184</v>
      </c>
      <c r="D6" s="49"/>
    </row>
    <row r="7" customFormat="false" ht="18" hidden="false" customHeight="true" outlineLevel="0" collapsed="false">
      <c r="B7" s="25" t="s">
        <v>185</v>
      </c>
      <c r="C7" s="49" t="s">
        <v>186</v>
      </c>
      <c r="D7" s="49"/>
    </row>
    <row r="8" customFormat="false" ht="18" hidden="false" customHeight="true" outlineLevel="0" collapsed="false">
      <c r="B8" s="25" t="s">
        <v>187</v>
      </c>
      <c r="C8" s="49" t="s">
        <v>188</v>
      </c>
      <c r="D8" s="49"/>
    </row>
    <row r="9" customFormat="false" ht="18" hidden="false" customHeight="true" outlineLevel="0" collapsed="false">
      <c r="B9" s="25" t="s">
        <v>189</v>
      </c>
      <c r="C9" s="49" t="s">
        <v>190</v>
      </c>
      <c r="D9" s="49"/>
    </row>
    <row r="10" customFormat="false" ht="18" hidden="false" customHeight="true" outlineLevel="0" collapsed="false">
      <c r="B10" s="25" t="s">
        <v>191</v>
      </c>
      <c r="C10" s="49" t="s">
        <v>192</v>
      </c>
      <c r="D10" s="49"/>
    </row>
    <row r="11" customFormat="false" ht="18" hidden="false" customHeight="true" outlineLevel="0" collapsed="false">
      <c r="B11" s="25" t="s">
        <v>193</v>
      </c>
      <c r="C11" s="49" t="s">
        <v>194</v>
      </c>
      <c r="D11" s="49"/>
    </row>
    <row r="12" customFormat="false" ht="18" hidden="false" customHeight="true" outlineLevel="0" collapsed="false">
      <c r="B12" s="25" t="s">
        <v>195</v>
      </c>
      <c r="C12" s="49" t="s">
        <v>196</v>
      </c>
      <c r="D12" s="49"/>
    </row>
    <row r="13" customFormat="false" ht="18" hidden="false" customHeight="true" outlineLevel="0" collapsed="false">
      <c r="B13" s="25" t="s">
        <v>197</v>
      </c>
      <c r="C13" s="49" t="s">
        <v>198</v>
      </c>
      <c r="D13" s="49"/>
    </row>
    <row r="15" customFormat="false" ht="15" hidden="false" customHeight="true" outlineLevel="0" collapsed="false">
      <c r="B15" s="22" t="s">
        <v>199</v>
      </c>
      <c r="C15" s="22"/>
      <c r="D15" s="22"/>
      <c r="E15" s="22"/>
      <c r="F15" s="22"/>
      <c r="G15" s="22"/>
    </row>
    <row r="16" customFormat="false" ht="15" hidden="false" customHeight="true" outlineLevel="0" collapsed="false">
      <c r="B16" s="23" t="s">
        <v>62</v>
      </c>
      <c r="C16" s="45" t="s">
        <v>200</v>
      </c>
      <c r="D16" s="45" t="s">
        <v>201</v>
      </c>
      <c r="E16" s="45" t="s">
        <v>202</v>
      </c>
      <c r="F16" s="45" t="s">
        <v>203</v>
      </c>
      <c r="G16" s="45" t="s">
        <v>204</v>
      </c>
    </row>
    <row r="17" customFormat="false" ht="15" hidden="false" customHeight="true" outlineLevel="0" collapsed="false">
      <c r="B17" s="25" t="s">
        <v>205</v>
      </c>
      <c r="C17" s="50" t="n">
        <v>5</v>
      </c>
      <c r="D17" s="50" t="n">
        <v>5</v>
      </c>
      <c r="E17" s="50" t="n">
        <v>5</v>
      </c>
      <c r="F17" s="50" t="n">
        <v>4</v>
      </c>
      <c r="G17" s="50" t="n">
        <v>7</v>
      </c>
    </row>
    <row r="18" customFormat="false" ht="15" hidden="false" customHeight="true" outlineLevel="0" collapsed="false">
      <c r="B18" s="25" t="s">
        <v>206</v>
      </c>
      <c r="C18" s="24" t="n">
        <v>76.7</v>
      </c>
      <c r="D18" s="24" t="n">
        <v>91.8</v>
      </c>
      <c r="E18" s="24" t="n">
        <v>110.6</v>
      </c>
      <c r="F18" s="24" t="n">
        <v>84.2</v>
      </c>
      <c r="G18" s="24" t="n">
        <v>108.4</v>
      </c>
    </row>
    <row r="19" customFormat="false" ht="15" hidden="false" customHeight="true" outlineLevel="0" collapsed="false">
      <c r="B19" s="25" t="s">
        <v>207</v>
      </c>
      <c r="C19" s="24" t="n">
        <v>14</v>
      </c>
      <c r="D19" s="24" t="n">
        <v>16</v>
      </c>
      <c r="E19" s="24" t="n">
        <v>18</v>
      </c>
      <c r="F19" s="24" t="n">
        <v>15</v>
      </c>
      <c r="G19" s="24" t="n">
        <v>15.5</v>
      </c>
    </row>
    <row r="20" customFormat="false" ht="15" hidden="false" customHeight="true" outlineLevel="0" collapsed="false">
      <c r="B20" s="25" t="s">
        <v>208</v>
      </c>
      <c r="C20" s="51" t="n">
        <f aca="false">C18*C19</f>
        <v>1073.8</v>
      </c>
      <c r="D20" s="51" t="n">
        <f aca="false">D18*D19</f>
        <v>1468.8</v>
      </c>
      <c r="E20" s="51" t="n">
        <f aca="false">E18*E19</f>
        <v>1990.8</v>
      </c>
      <c r="F20" s="51" t="n">
        <f aca="false">F18*F19</f>
        <v>1263</v>
      </c>
      <c r="G20" s="51" t="n">
        <f aca="false">G18*G19</f>
        <v>1680.2</v>
      </c>
    </row>
    <row r="21" customFormat="false" ht="15" hidden="false" customHeight="true" outlineLevel="0" collapsed="false">
      <c r="B21" s="25" t="s">
        <v>209</v>
      </c>
      <c r="C21" s="52" t="n">
        <v>292</v>
      </c>
      <c r="D21" s="52" t="n">
        <v>288</v>
      </c>
      <c r="E21" s="52" t="n">
        <v>284</v>
      </c>
      <c r="F21" s="52" t="n">
        <v>295</v>
      </c>
      <c r="G21" s="52" t="n">
        <v>278</v>
      </c>
    </row>
    <row r="22" customFormat="false" ht="15" hidden="false" customHeight="true" outlineLevel="0" collapsed="false">
      <c r="B22" s="25" t="s">
        <v>210</v>
      </c>
      <c r="C22" s="53" t="n">
        <f aca="false">C20-C21</f>
        <v>781.8</v>
      </c>
      <c r="D22" s="53" t="n">
        <f aca="false">D20-D21</f>
        <v>1180.8</v>
      </c>
      <c r="E22" s="53" t="n">
        <f aca="false">E20-E21</f>
        <v>1706.8</v>
      </c>
      <c r="F22" s="53" t="n">
        <f aca="false">F20-F21</f>
        <v>968</v>
      </c>
      <c r="G22" s="53" t="n">
        <f aca="false">G20-G21</f>
        <v>1402.2</v>
      </c>
    </row>
    <row r="23" customFormat="false" ht="15" hidden="false" customHeight="true" outlineLevel="0" collapsed="false">
      <c r="C23" s="54" t="n">
        <f aca="false">C22</f>
        <v>781.8</v>
      </c>
      <c r="D23" s="54" t="n">
        <f aca="false">D22</f>
        <v>1180.8</v>
      </c>
      <c r="E23" s="54" t="n">
        <f aca="false">E22</f>
        <v>1706.8</v>
      </c>
      <c r="F23" s="54" t="n">
        <f aca="false">F22</f>
        <v>968</v>
      </c>
      <c r="G23" s="54" t="n">
        <f aca="false">G22</f>
        <v>1402.2</v>
      </c>
    </row>
    <row r="24" customFormat="false" ht="15" hidden="false" customHeight="true" outlineLevel="0" collapsed="false">
      <c r="B24" s="22" t="s">
        <v>211</v>
      </c>
      <c r="C24" s="22"/>
      <c r="D24" s="22"/>
      <c r="E24" s="22"/>
      <c r="F24" s="22"/>
      <c r="G24" s="22"/>
    </row>
    <row r="25" customFormat="false" ht="15" hidden="false" customHeight="true" outlineLevel="0" collapsed="false">
      <c r="B25" s="23" t="s">
        <v>62</v>
      </c>
      <c r="C25" s="45" t="s">
        <v>200</v>
      </c>
      <c r="D25" s="45" t="s">
        <v>201</v>
      </c>
      <c r="E25" s="45" t="s">
        <v>202</v>
      </c>
      <c r="F25" s="45" t="s">
        <v>203</v>
      </c>
      <c r="G25" s="45" t="s">
        <v>204</v>
      </c>
    </row>
    <row r="26" customFormat="false" ht="15" hidden="false" customHeight="true" outlineLevel="0" collapsed="false">
      <c r="B26" s="8" t="s">
        <v>212</v>
      </c>
      <c r="C26" s="24" t="n">
        <v>775</v>
      </c>
      <c r="D26" s="24" t="n">
        <v>775</v>
      </c>
      <c r="E26" s="24" t="n">
        <v>775</v>
      </c>
      <c r="F26" s="24" t="n">
        <v>775</v>
      </c>
      <c r="G26" s="24" t="n">
        <v>775</v>
      </c>
    </row>
    <row r="27" customFormat="false" ht="15" hidden="false" customHeight="true" outlineLevel="0" collapsed="false">
      <c r="B27" s="8" t="s">
        <v>213</v>
      </c>
      <c r="C27" s="24" t="n">
        <v>1395</v>
      </c>
      <c r="D27" s="24" t="n">
        <v>2015</v>
      </c>
      <c r="E27" s="24" t="n">
        <v>2712.5</v>
      </c>
      <c r="F27" s="24" t="n">
        <v>1860</v>
      </c>
      <c r="G27" s="24" t="n">
        <v>2247.5</v>
      </c>
    </row>
    <row r="28" customFormat="false" ht="15" hidden="false" customHeight="true" outlineLevel="0" collapsed="false">
      <c r="B28" s="14" t="s">
        <v>214</v>
      </c>
      <c r="C28" s="55" t="n">
        <f aca="false">C27/C26</f>
        <v>1.8</v>
      </c>
      <c r="D28" s="55" t="n">
        <f aca="false">D27/D26</f>
        <v>2.6</v>
      </c>
      <c r="E28" s="55" t="n">
        <f aca="false">E27/E26</f>
        <v>3.5</v>
      </c>
      <c r="F28" s="55" t="n">
        <f aca="false">F27/F26</f>
        <v>2.4</v>
      </c>
      <c r="G28" s="55" t="n">
        <f aca="false">G27/G26</f>
        <v>2.9</v>
      </c>
    </row>
    <row r="29" customFormat="false" ht="15" hidden="false" customHeight="true" outlineLevel="0" collapsed="false">
      <c r="B29" s="14" t="s">
        <v>215</v>
      </c>
      <c r="C29" s="56" t="n">
        <v>0.14</v>
      </c>
      <c r="D29" s="56" t="n">
        <v>0.19</v>
      </c>
      <c r="E29" s="56" t="n">
        <v>0.25</v>
      </c>
      <c r="F29" s="56" t="n">
        <v>0.21</v>
      </c>
      <c r="G29" s="56" t="n">
        <v>0.17</v>
      </c>
    </row>
    <row r="31" customFormat="false" ht="15" hidden="false" customHeight="true" outlineLevel="0" collapsed="false">
      <c r="B31" s="22" t="s">
        <v>216</v>
      </c>
      <c r="C31" s="22"/>
      <c r="D31" s="22"/>
      <c r="E31" s="22"/>
      <c r="F31" s="22"/>
      <c r="G31" s="22"/>
    </row>
    <row r="32" customFormat="false" ht="15" hidden="false" customHeight="true" outlineLevel="0" collapsed="false">
      <c r="B32" s="7" t="s">
        <v>217</v>
      </c>
      <c r="C32" s="45" t="s">
        <v>218</v>
      </c>
      <c r="D32" s="45" t="s">
        <v>219</v>
      </c>
      <c r="E32" s="45" t="s">
        <v>220</v>
      </c>
      <c r="F32" s="45" t="s">
        <v>221</v>
      </c>
      <c r="G32" s="45" t="s">
        <v>222</v>
      </c>
    </row>
    <row r="33" customFormat="false" ht="15" hidden="false" customHeight="true" outlineLevel="0" collapsed="false">
      <c r="B33" s="47" t="n">
        <v>12</v>
      </c>
      <c r="C33" s="57" t="n">
        <v>0.81</v>
      </c>
      <c r="D33" s="57" t="n">
        <v>0.93</v>
      </c>
      <c r="E33" s="57" t="n">
        <v>1.05</v>
      </c>
      <c r="F33" s="57" t="n">
        <v>1.17</v>
      </c>
      <c r="G33" s="57" t="n">
        <v>1.34</v>
      </c>
    </row>
    <row r="34" customFormat="false" ht="15" hidden="false" customHeight="true" outlineLevel="0" collapsed="false">
      <c r="B34" s="47" t="n">
        <v>14</v>
      </c>
      <c r="C34" s="57" t="n">
        <v>1.01</v>
      </c>
      <c r="D34" s="57" t="n">
        <v>1.14</v>
      </c>
      <c r="E34" s="57" t="n">
        <v>1.28</v>
      </c>
      <c r="F34" s="57" t="n">
        <v>1.43</v>
      </c>
      <c r="G34" s="57" t="n">
        <v>1.62</v>
      </c>
    </row>
    <row r="35" customFormat="false" ht="15" hidden="false" customHeight="true" outlineLevel="0" collapsed="false">
      <c r="B35" s="47" t="n">
        <v>16</v>
      </c>
      <c r="C35" s="57" t="n">
        <v>1.21</v>
      </c>
      <c r="D35" s="57" t="n">
        <v>1.36</v>
      </c>
      <c r="E35" s="57" t="n">
        <v>1.52</v>
      </c>
      <c r="F35" s="57" t="n">
        <v>1.69</v>
      </c>
      <c r="G35" s="57" t="n">
        <v>1.91</v>
      </c>
    </row>
    <row r="36" customFormat="false" ht="15" hidden="false" customHeight="true" outlineLevel="0" collapsed="false">
      <c r="B36" s="47" t="n">
        <v>18</v>
      </c>
      <c r="C36" s="57" t="n">
        <v>1.41</v>
      </c>
      <c r="D36" s="57" t="n">
        <v>1.58</v>
      </c>
      <c r="E36" s="57" t="n">
        <v>1.76</v>
      </c>
      <c r="F36" s="57" t="n">
        <v>1.95</v>
      </c>
      <c r="G36" s="58" t="n">
        <v>2.19</v>
      </c>
    </row>
    <row r="37" customFormat="false" ht="15" hidden="false" customHeight="true" outlineLevel="0" collapsed="false">
      <c r="B37" s="47" t="n">
        <v>20</v>
      </c>
      <c r="C37" s="57" t="n">
        <v>1.61</v>
      </c>
      <c r="D37" s="57" t="n">
        <v>1.79</v>
      </c>
      <c r="E37" s="57" t="n">
        <v>1.99</v>
      </c>
      <c r="F37" s="58" t="n">
        <v>2.21</v>
      </c>
      <c r="G37" s="58" t="n">
        <v>2.48</v>
      </c>
    </row>
  </sheetData>
  <mergeCells count="15">
    <mergeCell ref="B1:G1"/>
    <mergeCell ref="B3:G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15:G15"/>
    <mergeCell ref="B24:G24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2026-06-04T09:57:03Z</dcterms:created>
  <dc:creator>openpyxl</dc:creator>
  <dc:description/>
  <dc:language>en-US</dc:language>
  <cp:lastModifiedBy/>
  <dcterms:modified xsi:type="dcterms:W3CDTF">2026-06-04T09:57:48Z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