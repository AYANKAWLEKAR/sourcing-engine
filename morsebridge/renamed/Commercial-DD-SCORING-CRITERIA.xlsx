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ercial DD Scoring" sheetId="1" r:id="rId4"/>
  </sheets>
  <definedNames/>
  <calcPr/>
  <extLst>
    <ext uri="GoogleSheetsCustomDataVersion2">
      <go:sheetsCustomData xmlns:go="http://customooxmlschemas.google.com/" r:id="rId5" roundtripDataChecksum="RK6wgRlqmmJO1Dr7v+ofMrAspptqNjjUscUrrXv6yJs="/>
    </ext>
  </extLst>
</workbook>
</file>

<file path=xl/sharedStrings.xml><?xml version="1.0" encoding="utf-8"?>
<sst xmlns="http://schemas.openxmlformats.org/spreadsheetml/2006/main" count="80" uniqueCount="80">
  <si>
    <t>COMMERCIAL DD — Scoring Criteria | Morsebridge Healthcare</t>
  </si>
  <si>
    <t>#</t>
  </si>
  <si>
    <t>Criterion</t>
  </si>
  <si>
    <t>Weight</t>
  </si>
  <si>
    <t>Score (1-5)
Enter Here</t>
  </si>
  <si>
    <t>Weighted Score</t>
  </si>
  <si>
    <t>Score 5 (Exceptional)</t>
  </si>
  <si>
    <t>Score 3 (Adequate)</t>
  </si>
  <si>
    <t>Score 1 (Critical)</t>
  </si>
  <si>
    <t>MARKET ASSESSMENT</t>
  </si>
  <si>
    <t>TAM Size and Growth</t>
  </si>
  <si>
    <t>TAM $10B+. CAGR 10%+. Large, growing market.</t>
  </si>
  <si>
    <t>TAM $3-10B. CAGR 5-9%. Solid but limited.</t>
  </si>
  <si>
    <t>TAM below $3B or declining. Limited headroom.</t>
  </si>
  <si>
    <t>Regulatory Tailwinds</t>
  </si>
  <si>
    <t>Strong net tailwind. Company directly benefits from regulatory change.</t>
  </si>
  <si>
    <t>Neutral to modest tailwind. Compliance cost manageable.</t>
  </si>
  <si>
    <t>Net headwind. Regulatory risk materially impacts model.</t>
  </si>
  <si>
    <t>Market Maturity</t>
  </si>
  <si>
    <t>Fragmented, growing market. PE consolidation opportunity clear.</t>
  </si>
  <si>
    <t>Moderately consolidated. Some roll-up opportunity remains.</t>
  </si>
  <si>
    <t>Highly consolidated. Limited M&amp;A runway.</t>
  </si>
  <si>
    <t>COMPETITIVE POSITION</t>
  </si>
  <si>
    <t>Competitive Moat</t>
  </si>
  <si>
    <t>Deep EHR integrations, proprietary data, KLAS #1. Hard to replicate.</t>
  </si>
  <si>
    <t>Strong product but moat partially replicable by well-funded competitor.</t>
  </si>
  <si>
    <t>Commodity positioning. No clear moat. Easily displaced.</t>
  </si>
  <si>
    <t>EHR Encroachment Risk</t>
  </si>
  <si>
    <t>Complementary to EHR. EHR vendors are channel partners, not competitors.</t>
  </si>
  <si>
    <t>Some overlap with EHR native functionality. Risk present but manageable.</t>
  </si>
  <si>
    <t>Direct overlap with Epic/Oracle roadmap. High displacement risk.</t>
  </si>
  <si>
    <t>Competitive Benchmarking</t>
  </si>
  <si>
    <t>Best-in-class across product, price, and retention vs. all named competitors.</t>
  </si>
  <si>
    <t>Competitive on most dimensions. Disadvantaged on 1-2 metrics.</t>
  </si>
  <si>
    <t>Disadvantaged on majority of benchmarked dimensions.</t>
  </si>
  <si>
    <t>CUSTOMER ANALYSIS</t>
  </si>
  <si>
    <t>Customer Retention Quality</t>
  </si>
  <si>
    <t>NRR 110%+. Gross retention 95%+. Improving trend.</t>
  </si>
  <si>
    <t>NRR 100-109%. Gross retention 90-94%. Stable.</t>
  </si>
  <si>
    <t>NRR below 100% or gross retention below 88%. Deteriorating.</t>
  </si>
  <si>
    <t>Revenue Concentration</t>
  </si>
  <si>
    <t>Top 20 clients below 30% of revenue. Highly diversified.</t>
  </si>
  <si>
    <t>Top 20 clients 30-45% of revenue. Manageable.</t>
  </si>
  <si>
    <t>Top 20 clients above 50% or single client above 15%.</t>
  </si>
  <si>
    <t>Contract Quality</t>
  </si>
  <si>
    <t>3-5 year contracts, auto-renewal, CPI+ escalators standard.</t>
  </si>
  <si>
    <t>2-3 year contracts, partial auto-renewal, flat pricing.</t>
  </si>
  <si>
    <t>Annual contracts, manual renewal, no pricing escalators.</t>
  </si>
  <si>
    <t>COMMERCIAL MODEL</t>
  </si>
  <si>
    <t>Cross-Sell Runway</t>
  </si>
  <si>
    <t>Clear $40M+ upsell opportunity identified with product-level evidence.</t>
  </si>
  <si>
    <t>$10-40M upsell opportunity. Some cross-sell motion present.</t>
  </si>
  <si>
    <t>Limited whitespace. Base is largely fully penetrated.</t>
  </si>
  <si>
    <t>GTM Efficiency</t>
  </si>
  <si>
    <t>Strong sales productivity. Pipeline coverage 3x+. CAC declining.</t>
  </si>
  <si>
    <t>Adequate productivity. Pipeline coverage 2-3x. CAC stable.</t>
  </si>
  <si>
    <t>Weak productivity. Coverage below 2x. CAC increasing.</t>
  </si>
  <si>
    <t>TOTAL WEIGHTED SCORE</t>
  </si>
  <si>
    <t>Max score = 100</t>
  </si>
  <si>
    <t>SCORE INTERPRETATION</t>
  </si>
  <si>
    <t>80-100</t>
  </si>
  <si>
    <t>Strong Proceed</t>
  </si>
  <si>
    <t>High conviction. Recommend proceeding to next stage without conditions.</t>
  </si>
  <si>
    <t>65-79</t>
  </si>
  <si>
    <t>Conditional Proceed</t>
  </si>
  <si>
    <t>Proceed with identified conditions to be resolved before investment approval.</t>
  </si>
  <si>
    <t>Below 65</t>
  </si>
  <si>
    <t>Pass</t>
  </si>
  <si>
    <t>Material concerns. Do not proceed without significant new information.</t>
  </si>
  <si>
    <t>SCORING GUIDE</t>
  </si>
  <si>
    <t>Exceptional</t>
  </si>
  <si>
    <t>Materially exceeds threshold. Clear competitive advantage or very low risk.</t>
  </si>
  <si>
    <t>Strong</t>
  </si>
  <si>
    <t>Above threshold. Minor concerns only, well mitigated.</t>
  </si>
  <si>
    <t>Adequate</t>
  </si>
  <si>
    <t>Meets minimum threshold. Some concerns present but manageable.</t>
  </si>
  <si>
    <t>Weak</t>
  </si>
  <si>
    <t>Below threshold. Significant concern requiring active management.</t>
  </si>
  <si>
    <t>Critical</t>
  </si>
  <si>
    <t>Fails threshold. Material risk or disqualifying issue.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</si>
</sst>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7">
    <font>
      <sz val="11.0"/>
      <color theme="1"/>
      <name val="Calibri"/>
      <scheme val="minor"/>
    </font>
    <font>
      <b/>
      <sz val="13.0"/>
      <color rgb="FFFFFFFF"/>
      <name val="Arial"/>
    </font>
    <font/>
    <font>
      <sz val="11.0"/>
      <color theme="1"/>
      <name val="Calibri"/>
    </font>
    <font>
      <b/>
      <sz val="10.0"/>
      <color rgb="FFFFFFFF"/>
      <name val="Arial"/>
    </font>
    <font>
      <b/>
      <sz val="10.0"/>
      <color rgb="FF000000"/>
      <name val="Arial"/>
    </font>
    <font>
      <sz val="9.0"/>
      <color rgb="FF000000"/>
      <name val="Arial"/>
    </font>
    <font>
      <sz val="10.0"/>
      <color rgb="FF0000FF"/>
      <name val="Arial"/>
    </font>
    <font>
      <sz val="10.0"/>
      <color rgb="FF000000"/>
      <name val="Arial"/>
    </font>
    <font>
      <sz val="9.0"/>
      <color theme="1"/>
      <name val="Arial"/>
    </font>
    <font>
      <b/>
      <sz val="10.0"/>
      <color rgb="FF1B3A5C"/>
      <name val="Arial"/>
    </font>
    <font>
      <b/>
      <sz val="11.0"/>
      <color rgb="FF1B3A5C"/>
      <name val="Arial"/>
    </font>
    <font>
      <b/>
      <sz val="11.0"/>
      <color rgb="FFFFFFFF"/>
      <name val="Arial"/>
    </font>
    <font>
      <b/>
      <sz val="10.0"/>
      <color rgb="FF1E7E34"/>
      <name val="Arial"/>
    </font>
    <font>
      <b/>
      <sz val="10.0"/>
      <color rgb="FF9C5700"/>
      <name val="Arial"/>
    </font>
    <font>
      <b/>
      <sz val="10.0"/>
      <color rgb="FF9C0006"/>
      <name val="Arial"/>
    </font>
    <font>
      <b/>
      <sz val="10.0"/>
      <color rgb="FF70AD47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3A5C"/>
        <bgColor rgb="FF1B3A5C"/>
      </patternFill>
    </fill>
    <fill>
      <patternFill patternType="solid">
        <fgColor rgb="FF2E6DB4"/>
        <bgColor rgb="FF2E6DB4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6E4F0"/>
        <bgColor rgb="FFD6E4F0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1E7E34"/>
        <bgColor rgb="FF1E7E34"/>
      </patternFill>
    </fill>
    <fill>
      <patternFill patternType="solid">
        <fgColor rgb="FF70AD47"/>
        <bgColor rgb="FF70AD47"/>
      </patternFill>
    </fill>
    <fill>
      <patternFill patternType="solid">
        <fgColor rgb="FF9C5700"/>
        <bgColor rgb="FF9C5700"/>
      </patternFill>
    </fill>
    <fill>
      <patternFill patternType="solid">
        <fgColor rgb="FF9C0006"/>
        <bgColor rgb="FF9C0006"/>
      </patternFill>
    </fill>
  </fills>
  <borders count="5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3" fontId="4" numFmtId="0" xfId="0" applyAlignment="1" applyBorder="1" applyFont="1">
      <alignment horizontal="left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1" fillId="4" fontId="4" numFmtId="0" xfId="0" applyAlignment="1" applyBorder="1" applyFont="1">
      <alignment horizontal="left" shrinkToFit="0" vertical="center" wrapText="0"/>
    </xf>
    <xf borderId="4" fillId="5" fontId="5" numFmtId="0" xfId="0" applyAlignment="1" applyBorder="1" applyFill="1" applyFont="1">
      <alignment horizontal="center" shrinkToFit="0" vertical="center" wrapText="0"/>
    </xf>
    <xf borderId="4" fillId="6" fontId="6" numFmtId="0" xfId="0" applyAlignment="1" applyBorder="1" applyFill="1" applyFont="1">
      <alignment horizontal="left" shrinkToFit="0" vertical="center" wrapText="1"/>
    </xf>
    <xf borderId="4" fillId="6" fontId="7" numFmtId="9" xfId="0" applyAlignment="1" applyBorder="1" applyFont="1" applyNumberFormat="1">
      <alignment horizontal="center" shrinkToFit="0" vertical="center" wrapText="0"/>
    </xf>
    <xf borderId="4" fillId="5" fontId="7" numFmtId="0" xfId="0" applyAlignment="1" applyBorder="1" applyFont="1">
      <alignment horizontal="center" readingOrder="0" shrinkToFit="0" vertical="center" wrapText="0"/>
    </xf>
    <xf borderId="4" fillId="7" fontId="8" numFmtId="2" xfId="0" applyAlignment="1" applyBorder="1" applyFill="1" applyFont="1" applyNumberFormat="1">
      <alignment horizontal="center" shrinkToFit="0" vertical="center" wrapText="0"/>
    </xf>
    <xf borderId="4" fillId="8" fontId="9" numFmtId="0" xfId="0" applyAlignment="1" applyBorder="1" applyFill="1" applyFont="1">
      <alignment shrinkToFit="0" vertical="center" wrapText="1"/>
    </xf>
    <xf borderId="4" fillId="9" fontId="9" numFmtId="0" xfId="0" applyAlignment="1" applyBorder="1" applyFill="1" applyFont="1">
      <alignment shrinkToFit="0" vertical="center" wrapText="1"/>
    </xf>
    <xf borderId="4" fillId="10" fontId="9" numFmtId="0" xfId="0" applyAlignment="1" applyBorder="1" applyFill="1" applyFont="1">
      <alignment shrinkToFit="0" vertical="center" wrapText="1"/>
    </xf>
    <xf borderId="4" fillId="7" fontId="8" numFmtId="0" xfId="0" applyAlignment="1" applyBorder="1" applyFont="1">
      <alignment horizontal="left" shrinkToFit="0" vertical="center" wrapText="0"/>
    </xf>
    <xf borderId="4" fillId="7" fontId="10" numFmtId="0" xfId="0" applyAlignment="1" applyBorder="1" applyFont="1">
      <alignment horizontal="left" shrinkToFit="0" vertical="center" wrapText="0"/>
    </xf>
    <xf borderId="4" fillId="7" fontId="5" numFmtId="9" xfId="0" applyAlignment="1" applyBorder="1" applyFont="1" applyNumberFormat="1">
      <alignment horizontal="center" shrinkToFit="0" vertical="center" wrapText="0"/>
    </xf>
    <xf borderId="4" fillId="7" fontId="11" numFmtId="164" xfId="0" applyAlignment="1" applyBorder="1" applyFont="1" applyNumberFormat="1">
      <alignment horizontal="center" shrinkToFit="0" vertical="center" wrapText="0"/>
    </xf>
    <xf borderId="1" fillId="7" fontId="8" numFmtId="0" xfId="0" applyAlignment="1" applyBorder="1" applyFont="1">
      <alignment horizontal="left" shrinkToFit="0" vertical="center" wrapText="0"/>
    </xf>
    <xf borderId="1" fillId="3" fontId="12" numFmtId="0" xfId="0" applyAlignment="1" applyBorder="1" applyFont="1">
      <alignment horizontal="left" shrinkToFit="0" vertical="center" wrapText="1"/>
    </xf>
    <xf borderId="4" fillId="8" fontId="13" numFmtId="0" xfId="0" applyAlignment="1" applyBorder="1" applyFont="1">
      <alignment horizontal="center" shrinkToFit="0" vertical="center" wrapText="0"/>
    </xf>
    <xf borderId="4" fillId="8" fontId="13" numFmtId="0" xfId="0" applyAlignment="1" applyBorder="1" applyFont="1">
      <alignment horizontal="left" shrinkToFit="0" vertical="center" wrapText="0"/>
    </xf>
    <xf borderId="1" fillId="6" fontId="8" numFmtId="0" xfId="0" applyAlignment="1" applyBorder="1" applyFont="1">
      <alignment horizontal="left" shrinkToFit="0" vertical="center" wrapText="1"/>
    </xf>
    <xf borderId="4" fillId="9" fontId="14" numFmtId="0" xfId="0" applyAlignment="1" applyBorder="1" applyFont="1">
      <alignment horizontal="center" shrinkToFit="0" vertical="center" wrapText="0"/>
    </xf>
    <xf borderId="4" fillId="9" fontId="14" numFmtId="0" xfId="0" applyAlignment="1" applyBorder="1" applyFont="1">
      <alignment horizontal="left" shrinkToFit="0" vertical="center" wrapText="0"/>
    </xf>
    <xf borderId="4" fillId="10" fontId="15" numFmtId="0" xfId="0" applyAlignment="1" applyBorder="1" applyFont="1">
      <alignment horizontal="center" shrinkToFit="0" vertical="center" wrapText="0"/>
    </xf>
    <xf borderId="4" fillId="10" fontId="15" numFmtId="0" xfId="0" applyAlignment="1" applyBorder="1" applyFont="1">
      <alignment horizontal="left" shrinkToFit="0" vertical="center" wrapText="0"/>
    </xf>
    <xf borderId="4" fillId="11" fontId="4" numFmtId="0" xfId="0" applyAlignment="1" applyBorder="1" applyFill="1" applyFont="1">
      <alignment horizontal="center" shrinkToFit="0" vertical="center" wrapText="0"/>
    </xf>
    <xf borderId="4" fillId="6" fontId="13" numFmtId="0" xfId="0" applyAlignment="1" applyBorder="1" applyFont="1">
      <alignment horizontal="left" shrinkToFit="0" vertical="center" wrapText="0"/>
    </xf>
    <xf borderId="4" fillId="12" fontId="4" numFmtId="0" xfId="0" applyAlignment="1" applyBorder="1" applyFill="1" applyFont="1">
      <alignment horizontal="center" shrinkToFit="0" vertical="center" wrapText="0"/>
    </xf>
    <xf borderId="4" fillId="6" fontId="16" numFmtId="0" xfId="0" applyAlignment="1" applyBorder="1" applyFont="1">
      <alignment horizontal="left" shrinkToFit="0" vertical="center" wrapText="0"/>
    </xf>
    <xf borderId="4" fillId="13" fontId="4" numFmtId="0" xfId="0" applyAlignment="1" applyBorder="1" applyFill="1" applyFont="1">
      <alignment horizontal="center" shrinkToFit="0" vertical="center" wrapText="0"/>
    </xf>
    <xf borderId="4" fillId="14" fontId="4" numFmtId="0" xfId="0" applyAlignment="1" applyBorder="1" applyFill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32.0"/>
    <col customWidth="1" min="3" max="3" width="10.0"/>
    <col customWidth="1" min="4" max="5" width="12.0"/>
    <col customWidth="1" min="6" max="8" width="26.0"/>
    <col customWidth="1" min="9" max="26" width="8.71"/>
  </cols>
  <sheetData>
    <row r="1" ht="30.0" customHeight="1">
      <c r="A1" s="1" t="s">
        <v>0</v>
      </c>
      <c r="B1" s="2"/>
      <c r="C1" s="2"/>
      <c r="D1" s="2"/>
      <c r="E1" s="2"/>
      <c r="F1" s="2"/>
      <c r="G1" s="3"/>
      <c r="H1" s="4"/>
    </row>
    <row r="2">
      <c r="A2" s="4"/>
      <c r="B2" s="4"/>
      <c r="C2" s="4"/>
      <c r="D2" s="4"/>
      <c r="E2" s="4"/>
      <c r="F2" s="4"/>
      <c r="G2" s="4"/>
      <c r="H2" s="4"/>
    </row>
    <row r="3" ht="30.0" customHeight="1">
      <c r="A3" s="5" t="s">
        <v>1</v>
      </c>
      <c r="B3" s="6" t="s">
        <v>2</v>
      </c>
      <c r="C3" s="5" t="s">
        <v>3</v>
      </c>
      <c r="D3" s="7" t="s">
        <v>4</v>
      </c>
      <c r="E3" s="5" t="s">
        <v>5</v>
      </c>
      <c r="F3" s="6" t="s">
        <v>6</v>
      </c>
      <c r="G3" s="6" t="s">
        <v>7</v>
      </c>
      <c r="H3" s="6" t="s">
        <v>8</v>
      </c>
    </row>
    <row r="4" ht="19.5" customHeight="1">
      <c r="A4" s="8" t="s">
        <v>9</v>
      </c>
      <c r="B4" s="2"/>
      <c r="C4" s="2"/>
      <c r="D4" s="2"/>
      <c r="E4" s="2"/>
      <c r="F4" s="2"/>
      <c r="G4" s="2"/>
      <c r="H4" s="3"/>
    </row>
    <row r="5" ht="39.75" customHeight="1">
      <c r="A5" s="9">
        <v>1.0</v>
      </c>
      <c r="B5" s="10" t="s">
        <v>10</v>
      </c>
      <c r="C5" s="11">
        <v>0.1</v>
      </c>
      <c r="D5" s="12">
        <v>5.0</v>
      </c>
      <c r="E5" s="13">
        <f t="shared" ref="E5:E7" si="1">IF(ISNUMBER(D5),D5*C5,"")</f>
        <v>0.5</v>
      </c>
      <c r="F5" s="14" t="s">
        <v>11</v>
      </c>
      <c r="G5" s="15" t="s">
        <v>12</v>
      </c>
      <c r="H5" s="16" t="s">
        <v>13</v>
      </c>
    </row>
    <row r="6" ht="39.75" customHeight="1">
      <c r="A6" s="9">
        <v>2.0</v>
      </c>
      <c r="B6" s="10" t="s">
        <v>14</v>
      </c>
      <c r="C6" s="11">
        <v>0.08</v>
      </c>
      <c r="D6" s="12">
        <v>5.0</v>
      </c>
      <c r="E6" s="13">
        <f t="shared" si="1"/>
        <v>0.4</v>
      </c>
      <c r="F6" s="14" t="s">
        <v>15</v>
      </c>
      <c r="G6" s="15" t="s">
        <v>16</v>
      </c>
      <c r="H6" s="16" t="s">
        <v>17</v>
      </c>
    </row>
    <row r="7" ht="39.75" customHeight="1">
      <c r="A7" s="9">
        <v>3.0</v>
      </c>
      <c r="B7" s="10" t="s">
        <v>18</v>
      </c>
      <c r="C7" s="11">
        <v>0.07</v>
      </c>
      <c r="D7" s="12">
        <v>3.0</v>
      </c>
      <c r="E7" s="13">
        <f t="shared" si="1"/>
        <v>0.21</v>
      </c>
      <c r="F7" s="14" t="s">
        <v>19</v>
      </c>
      <c r="G7" s="15" t="s">
        <v>20</v>
      </c>
      <c r="H7" s="16" t="s">
        <v>21</v>
      </c>
    </row>
    <row r="8" ht="19.5" customHeight="1">
      <c r="A8" s="8" t="s">
        <v>22</v>
      </c>
      <c r="B8" s="2"/>
      <c r="C8" s="2"/>
      <c r="D8" s="2"/>
      <c r="E8" s="2"/>
      <c r="F8" s="2"/>
      <c r="G8" s="2"/>
      <c r="H8" s="3"/>
    </row>
    <row r="9" ht="39.75" customHeight="1">
      <c r="A9" s="9">
        <v>4.0</v>
      </c>
      <c r="B9" s="10" t="s">
        <v>23</v>
      </c>
      <c r="C9" s="11">
        <v>0.12</v>
      </c>
      <c r="D9" s="12">
        <v>5.0</v>
      </c>
      <c r="E9" s="13">
        <f t="shared" ref="E9:E11" si="2">IF(ISNUMBER(D9),D9*C9,"")</f>
        <v>0.6</v>
      </c>
      <c r="F9" s="14" t="s">
        <v>24</v>
      </c>
      <c r="G9" s="15" t="s">
        <v>25</v>
      </c>
      <c r="H9" s="16" t="s">
        <v>26</v>
      </c>
    </row>
    <row r="10" ht="39.75" customHeight="1">
      <c r="A10" s="9">
        <v>5.0</v>
      </c>
      <c r="B10" s="10" t="s">
        <v>27</v>
      </c>
      <c r="C10" s="11">
        <v>0.1</v>
      </c>
      <c r="D10" s="12">
        <v>4.0</v>
      </c>
      <c r="E10" s="13">
        <f t="shared" si="2"/>
        <v>0.4</v>
      </c>
      <c r="F10" s="14" t="s">
        <v>28</v>
      </c>
      <c r="G10" s="15" t="s">
        <v>29</v>
      </c>
      <c r="H10" s="16" t="s">
        <v>30</v>
      </c>
    </row>
    <row r="11" ht="39.75" customHeight="1">
      <c r="A11" s="9">
        <v>6.0</v>
      </c>
      <c r="B11" s="10" t="s">
        <v>31</v>
      </c>
      <c r="C11" s="11">
        <v>0.08</v>
      </c>
      <c r="D11" s="12">
        <v>2.0</v>
      </c>
      <c r="E11" s="13">
        <f t="shared" si="2"/>
        <v>0.16</v>
      </c>
      <c r="F11" s="14" t="s">
        <v>32</v>
      </c>
      <c r="G11" s="15" t="s">
        <v>33</v>
      </c>
      <c r="H11" s="16" t="s">
        <v>34</v>
      </c>
    </row>
    <row r="12" ht="19.5" customHeight="1">
      <c r="A12" s="8" t="s">
        <v>35</v>
      </c>
      <c r="B12" s="2"/>
      <c r="C12" s="2"/>
      <c r="D12" s="2"/>
      <c r="E12" s="2"/>
      <c r="F12" s="2"/>
      <c r="G12" s="2"/>
      <c r="H12" s="3"/>
    </row>
    <row r="13" ht="39.75" customHeight="1">
      <c r="A13" s="9">
        <v>7.0</v>
      </c>
      <c r="B13" s="10" t="s">
        <v>36</v>
      </c>
      <c r="C13" s="11">
        <v>0.12</v>
      </c>
      <c r="D13" s="12">
        <v>5.0</v>
      </c>
      <c r="E13" s="13">
        <f t="shared" ref="E13:E15" si="3">IF(ISNUMBER(D13),D13*C13,"")</f>
        <v>0.6</v>
      </c>
      <c r="F13" s="14" t="s">
        <v>37</v>
      </c>
      <c r="G13" s="15" t="s">
        <v>38</v>
      </c>
      <c r="H13" s="16" t="s">
        <v>39</v>
      </c>
    </row>
    <row r="14" ht="39.75" customHeight="1">
      <c r="A14" s="9">
        <v>8.0</v>
      </c>
      <c r="B14" s="10" t="s">
        <v>40</v>
      </c>
      <c r="C14" s="11">
        <v>0.08</v>
      </c>
      <c r="D14" s="12">
        <v>5.0</v>
      </c>
      <c r="E14" s="13">
        <f t="shared" si="3"/>
        <v>0.4</v>
      </c>
      <c r="F14" s="14" t="s">
        <v>41</v>
      </c>
      <c r="G14" s="15" t="s">
        <v>42</v>
      </c>
      <c r="H14" s="16" t="s">
        <v>43</v>
      </c>
    </row>
    <row r="15" ht="39.75" customHeight="1">
      <c r="A15" s="9">
        <v>9.0</v>
      </c>
      <c r="B15" s="10" t="s">
        <v>44</v>
      </c>
      <c r="C15" s="11">
        <v>0.08</v>
      </c>
      <c r="D15" s="12">
        <v>3.0</v>
      </c>
      <c r="E15" s="13">
        <f t="shared" si="3"/>
        <v>0.24</v>
      </c>
      <c r="F15" s="14" t="s">
        <v>45</v>
      </c>
      <c r="G15" s="15" t="s">
        <v>46</v>
      </c>
      <c r="H15" s="16" t="s">
        <v>47</v>
      </c>
    </row>
    <row r="16" ht="19.5" customHeight="1">
      <c r="A16" s="8" t="s">
        <v>48</v>
      </c>
      <c r="B16" s="2"/>
      <c r="C16" s="2"/>
      <c r="D16" s="2"/>
      <c r="E16" s="2"/>
      <c r="F16" s="2"/>
      <c r="G16" s="2"/>
      <c r="H16" s="3"/>
    </row>
    <row r="17" ht="39.75" customHeight="1">
      <c r="A17" s="9">
        <v>10.0</v>
      </c>
      <c r="B17" s="10" t="s">
        <v>49</v>
      </c>
      <c r="C17" s="11">
        <v>0.08</v>
      </c>
      <c r="D17" s="12">
        <v>4.0</v>
      </c>
      <c r="E17" s="13">
        <f t="shared" ref="E17:E18" si="4">IF(ISNUMBER(D17),D17*C17,"")</f>
        <v>0.32</v>
      </c>
      <c r="F17" s="14" t="s">
        <v>50</v>
      </c>
      <c r="G17" s="15" t="s">
        <v>51</v>
      </c>
      <c r="H17" s="16" t="s">
        <v>52</v>
      </c>
    </row>
    <row r="18" ht="39.75" customHeight="1">
      <c r="A18" s="9">
        <v>11.0</v>
      </c>
      <c r="B18" s="10" t="s">
        <v>53</v>
      </c>
      <c r="C18" s="11">
        <v>0.09</v>
      </c>
      <c r="D18" s="12">
        <v>5.0</v>
      </c>
      <c r="E18" s="13">
        <f t="shared" si="4"/>
        <v>0.45</v>
      </c>
      <c r="F18" s="14" t="s">
        <v>54</v>
      </c>
      <c r="G18" s="15" t="s">
        <v>55</v>
      </c>
      <c r="H18" s="16" t="s">
        <v>56</v>
      </c>
    </row>
    <row r="19" ht="24.0" customHeight="1">
      <c r="A19" s="17"/>
      <c r="B19" s="18" t="s">
        <v>57</v>
      </c>
      <c r="C19" s="19">
        <v>1.0</v>
      </c>
      <c r="D19" s="17"/>
      <c r="E19" s="20">
        <f>ROUND((IF(ISNUMBER(D5),D5*C5,0)+IF(ISNUMBER(D6),D6*C6,0)+IF(ISNUMBER(D7),D7*C7,0)+IF(ISNUMBER(D9),D9*C9,0)+IF(ISNUMBER(D10),D10*C10,0)+IF(ISNUMBER(D11),D11*C11,0)+IF(ISNUMBER(D13),D13*C13,0)+IF(ISNUMBER(D14),D14*C14,0)+IF(ISNUMBER(D15),D15*C15,0)+IF(ISNUMBER(D17),D17*C17,0)+IF(ISNUMBER(D18),D18*C18,0))*20,1)</f>
        <v>85.6</v>
      </c>
      <c r="F19" s="21" t="s">
        <v>58</v>
      </c>
      <c r="G19" s="2"/>
      <c r="H19" s="3"/>
    </row>
    <row r="20">
      <c r="A20" s="4"/>
      <c r="B20" s="4"/>
      <c r="C20" s="4"/>
      <c r="D20" s="4"/>
      <c r="E20" s="4"/>
      <c r="F20" s="4"/>
      <c r="G20" s="4"/>
      <c r="H20" s="4"/>
    </row>
    <row r="21" ht="19.5" customHeight="1">
      <c r="A21" s="22" t="s">
        <v>59</v>
      </c>
      <c r="B21" s="2"/>
      <c r="C21" s="2"/>
      <c r="D21" s="2"/>
      <c r="E21" s="2"/>
      <c r="F21" s="2"/>
      <c r="G21" s="2"/>
      <c r="H21" s="3"/>
    </row>
    <row r="22" ht="21.75" customHeight="1">
      <c r="A22" s="23" t="s">
        <v>60</v>
      </c>
      <c r="B22" s="24" t="s">
        <v>61</v>
      </c>
      <c r="C22" s="25" t="s">
        <v>62</v>
      </c>
      <c r="D22" s="2"/>
      <c r="E22" s="2"/>
      <c r="F22" s="2"/>
      <c r="G22" s="2"/>
      <c r="H22" s="3"/>
    </row>
    <row r="23" ht="21.75" customHeight="1">
      <c r="A23" s="26" t="s">
        <v>63</v>
      </c>
      <c r="B23" s="27" t="s">
        <v>64</v>
      </c>
      <c r="C23" s="25" t="s">
        <v>65</v>
      </c>
      <c r="D23" s="2"/>
      <c r="E23" s="2"/>
      <c r="F23" s="2"/>
      <c r="G23" s="2"/>
      <c r="H23" s="3"/>
    </row>
    <row r="24" ht="21.75" customHeight="1">
      <c r="A24" s="28" t="s">
        <v>66</v>
      </c>
      <c r="B24" s="29" t="s">
        <v>67</v>
      </c>
      <c r="C24" s="25" t="s">
        <v>68</v>
      </c>
      <c r="D24" s="2"/>
      <c r="E24" s="2"/>
      <c r="F24" s="2"/>
      <c r="G24" s="2"/>
      <c r="H24" s="3"/>
    </row>
    <row r="25" ht="15.75" customHeight="1">
      <c r="A25" s="4"/>
      <c r="B25" s="4"/>
      <c r="C25" s="4"/>
      <c r="D25" s="4"/>
      <c r="E25" s="4"/>
      <c r="F25" s="4"/>
      <c r="G25" s="4"/>
      <c r="H25" s="4"/>
    </row>
    <row r="26" ht="15.75" customHeight="1">
      <c r="A26" s="4"/>
      <c r="B26" s="4"/>
      <c r="C26" s="4"/>
      <c r="D26" s="4"/>
      <c r="E26" s="4"/>
      <c r="F26" s="4"/>
      <c r="G26" s="4"/>
      <c r="H26" s="4"/>
    </row>
    <row r="27" ht="15.0" customHeight="1">
      <c r="A27" s="22" t="s">
        <v>69</v>
      </c>
      <c r="B27" s="2"/>
      <c r="C27" s="2"/>
      <c r="D27" s="2"/>
      <c r="E27" s="3"/>
      <c r="F27" s="4"/>
      <c r="G27" s="4"/>
      <c r="H27" s="4"/>
    </row>
    <row r="28" ht="24.0" customHeight="1">
      <c r="A28" s="30">
        <v>5.0</v>
      </c>
      <c r="B28" s="31" t="s">
        <v>70</v>
      </c>
      <c r="C28" s="25" t="s">
        <v>71</v>
      </c>
      <c r="D28" s="2"/>
      <c r="E28" s="3"/>
      <c r="F28" s="4"/>
      <c r="G28" s="4"/>
      <c r="H28" s="4"/>
    </row>
    <row r="29" ht="24.0" customHeight="1">
      <c r="A29" s="32">
        <v>4.0</v>
      </c>
      <c r="B29" s="33" t="s">
        <v>72</v>
      </c>
      <c r="C29" s="25" t="s">
        <v>73</v>
      </c>
      <c r="D29" s="2"/>
      <c r="E29" s="3"/>
      <c r="F29" s="4"/>
      <c r="G29" s="4"/>
      <c r="H29" s="4"/>
    </row>
    <row r="30" ht="24.0" customHeight="1">
      <c r="A30" s="34">
        <v>3.0</v>
      </c>
      <c r="B30" s="27" t="s">
        <v>74</v>
      </c>
      <c r="C30" s="25" t="s">
        <v>75</v>
      </c>
      <c r="D30" s="2"/>
      <c r="E30" s="3"/>
      <c r="F30" s="4"/>
      <c r="G30" s="4"/>
      <c r="H30" s="4"/>
    </row>
    <row r="31" ht="24.0" customHeight="1">
      <c r="A31" s="35">
        <v>2.0</v>
      </c>
      <c r="B31" s="29" t="s">
        <v>76</v>
      </c>
      <c r="C31" s="25" t="s">
        <v>77</v>
      </c>
      <c r="D31" s="2"/>
      <c r="E31" s="3"/>
      <c r="F31" s="4"/>
      <c r="G31" s="4"/>
      <c r="H31" s="4"/>
    </row>
    <row r="32" ht="24.0" customHeight="1">
      <c r="A32" s="35">
        <v>1.0</v>
      </c>
      <c r="B32" s="29" t="s">
        <v>78</v>
      </c>
      <c r="C32" s="25" t="s">
        <v>79</v>
      </c>
      <c r="D32" s="2"/>
      <c r="E32" s="3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</row>
  </sheetData>
  <mergeCells count="16">
    <mergeCell ref="A1:G1"/>
    <mergeCell ref="A4:H4"/>
    <mergeCell ref="A8:H8"/>
    <mergeCell ref="A12:H12"/>
    <mergeCell ref="A16:H16"/>
    <mergeCell ref="F19:H19"/>
    <mergeCell ref="A21:H21"/>
    <mergeCell ref="C31:E31"/>
    <mergeCell ref="C32:E32"/>
    <mergeCell ref="C22:H22"/>
    <mergeCell ref="C23:H23"/>
    <mergeCell ref="C24:H24"/>
    <mergeCell ref="A27:E27"/>
    <mergeCell ref="C28:E28"/>
    <mergeCell ref="C29:E29"/>
    <mergeCell ref="C30:E30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2026-06-04T12:59:52Z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