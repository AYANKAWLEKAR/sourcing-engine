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agement DD Scor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<sst xmlns="http://schemas.openxmlformats.org/spreadsheetml/2006/main" count="72" uniqueCount="72">
  <si>
    <t xml:space="preserve">MANAGEMENT DD — Scoring Criteria | Morsebridge Healthcare</t>
  </si>
  <si>
    <t xml:space="preserve">#</t>
  </si>
  <si>
    <t xml:space="preserve">Criterion</t>
  </si>
  <si>
    <t xml:space="preserve">Weight</t>
  </si>
  <si>
    <t xml:space="preserve">Score (1-5)
Enter Here</t>
  </si>
  <si>
    <t xml:space="preserve">Weighted Score</t>
  </si>
  <si>
    <t xml:space="preserve">Score 5 (Exceptional)</t>
  </si>
  <si>
    <t xml:space="preserve">Score 3 (Adequate)</t>
  </si>
  <si>
    <t xml:space="preserve">Score 1 (Critical)</t>
  </si>
  <si>
    <t xml:space="preserve">PE PARTNERSHIP READINESS (Critical Dimension)</t>
  </si>
  <si>
    <t xml:space="preserve">Prior PE Experience — CEO</t>
  </si>
  <si>
    <t xml:space="preserve">CEO has led 2+ PE-backed companies. Understands value creation, reporting, and exit process.</t>
  </si>
  <si>
    <t xml:space="preserve">CEO has some PE exposure (board member, functional leader) but not as CEO.</t>
  </si>
  <si>
    <t xml:space="preserve">No PE experience. First time working for a PE sponsor.</t>
  </si>
  <si>
    <t xml:space="preserve">CFO PE Readiness</t>
  </si>
  <si>
    <t xml:space="preserve">CFO has PE-backed company experience. Big 4 audit background. Monthly board reporting in place.</t>
  </si>
  <si>
    <t xml:space="preserve">CFO capable but limited PE experience. Learning curve expected.</t>
  </si>
  <si>
    <t xml:space="preserve">CFO not PE-ready. No board reporting infrastructure. Significant gap.</t>
  </si>
  <si>
    <t xml:space="preserve">Management Equity Rollover</t>
  </si>
  <si>
    <t xml:space="preserve">Management rolling over 5%+ of equity value. High alignment.</t>
  </si>
  <si>
    <t xml:space="preserve">Management rolling 2-5%. Moderate alignment.</t>
  </si>
  <si>
    <t xml:space="preserve">Management rolling less than 2% or no rollover. Misalignment risk.</t>
  </si>
  <si>
    <t xml:space="preserve">STRATEGY &amp; VISION</t>
  </si>
  <si>
    <t xml:space="preserve">Strategy Clarity</t>
  </si>
  <si>
    <t xml:space="preserve">Clear, specific plan with quantified milestones. Strategy consistent with CIM and financial model.</t>
  </si>
  <si>
    <t xml:space="preserve">Reasonable plan but vague on execution specifics or timeline.</t>
  </si>
  <si>
    <t xml:space="preserve">Generic vision. No specific milestones. Strategy not consistent with model.</t>
  </si>
  <si>
    <t xml:space="preserve">Risk Acknowledgement</t>
  </si>
  <si>
    <t xml:space="preserve">Management proactively identifies risks, quantifies impact, and has mitigation plans.</t>
  </si>
  <si>
    <t xml:space="preserve">Management acknowledges risks when asked but is not proactive.</t>
  </si>
  <si>
    <t xml:space="preserve">Management deflects risk questions. Excessive optimism without evidence.</t>
  </si>
  <si>
    <t xml:space="preserve">OPERATIONAL DEPTH</t>
  </si>
  <si>
    <t xml:space="preserve">Second-Tier Leadership</t>
  </si>
  <si>
    <t xml:space="preserve">Strong second-tier team. Key functions covered by experienced operators with tenure.</t>
  </si>
  <si>
    <t xml:space="preserve">Adequate second-tier. Some gaps but manageable.</t>
  </si>
  <si>
    <t xml:space="preserve">Thin second-tier. Excessive CEO/CFO dependency.</t>
  </si>
  <si>
    <t xml:space="preserve">Technology and Product Leadership</t>
  </si>
  <si>
    <t xml:space="preserve">CTO has deep domain expertise. Roadmap is funded, specific, and defensible.</t>
  </si>
  <si>
    <t xml:space="preserve">Adequate technology leadership. Roadmap present but not differentiated.</t>
  </si>
  <si>
    <t xml:space="preserve">Weak technology leadership. No clear roadmap or legacy tech dependency.</t>
  </si>
  <si>
    <t xml:space="preserve">TEAM STABILITY</t>
  </si>
  <si>
    <t xml:space="preserve">C-Suite Tenure</t>
  </si>
  <si>
    <t xml:space="preserve">Average C-suite tenure 4+ years. Stable, cohesive team.</t>
  </si>
  <si>
    <t xml:space="preserve">Average tenure 2-3 years. Some turnover but team intact.</t>
  </si>
  <si>
    <t xml:space="preserve">Average tenure below 2 years or material recent departures.</t>
  </si>
  <si>
    <t xml:space="preserve">Retention Plan</t>
  </si>
  <si>
    <t xml:space="preserve">Comprehensive equity plan covering top 20 employees. Vesting schedules aligned with hold.</t>
  </si>
  <si>
    <t xml:space="preserve">Equity plan in place for C-suite and select VPs.</t>
  </si>
  <si>
    <t xml:space="preserve">No equity plan below C-suite. Key talent retention at risk.</t>
  </si>
  <si>
    <t xml:space="preserve">TOTAL WEIGHTED SCORE</t>
  </si>
  <si>
    <t xml:space="preserve">Max score = 100</t>
  </si>
  <si>
    <t xml:space="preserve">SCORE INTERPRETATION</t>
  </si>
  <si>
    <t xml:space="preserve">80-100</t>
  </si>
  <si>
    <t xml:space="preserve">Strong Proceed</t>
  </si>
  <si>
    <t xml:space="preserve">High conviction. Recommend proceeding to next stage without conditions.</t>
  </si>
  <si>
    <t xml:space="preserve">65-79</t>
  </si>
  <si>
    <t xml:space="preserve">Conditional Proceed</t>
  </si>
  <si>
    <t xml:space="preserve">Proceed with identified conditions to be resolved before investment approval.</t>
  </si>
  <si>
    <t xml:space="preserve">Below 65</t>
  </si>
  <si>
    <t xml:space="preserve">Pass</t>
  </si>
  <si>
    <t xml:space="preserve">Material concerns. Do not proceed without significant new information.</t>
  </si>
  <si>
    <t xml:space="preserve">SCORING GUIDE</t>
  </si>
  <si>
    <t xml:space="preserve">Exceptional</t>
  </si>
  <si>
    <t xml:space="preserve">Materially exceeds threshold. Clear competitive advantage or very low risk.</t>
  </si>
  <si>
    <t xml:space="preserve">Strong</t>
  </si>
  <si>
    <t xml:space="preserve">Above threshold. Minor concerns only, well mitigated.</t>
  </si>
  <si>
    <t xml:space="preserve">Adequate</t>
  </si>
  <si>
    <t xml:space="preserve">Meets minimum threshold. Some concerns present but manageable.</t>
  </si>
  <si>
    <t xml:space="preserve">Weak</t>
  </si>
  <si>
    <t xml:space="preserve">Below threshold. Significant concern requiring active management.</t>
  </si>
  <si>
    <t xml:space="preserve">Critical</t>
  </si>
  <si>
    <t xml:space="preserve">Fails threshold. Material risk or disqualifying issue.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</si>
</sst>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0"/>
    <numFmt numFmtId="167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E7E34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70AD47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B3A5C"/>
        <bgColor rgb="FF333333"/>
      </patternFill>
    </fill>
    <fill>
      <patternFill patternType="solid">
        <fgColor rgb="FF2E6DB4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C6EFCE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CCCCCC"/>
      </patternFill>
    </fill>
    <fill>
      <patternFill patternType="solid">
        <fgColor rgb="FF1E7E34"/>
        <bgColor rgb="FF339966"/>
      </patternFill>
    </fill>
    <fill>
      <patternFill patternType="solid">
        <fgColor rgb="FF70AD47"/>
        <bgColor rgb="FF339966"/>
      </patternFill>
    </fill>
    <fill>
      <patternFill patternType="solid">
        <fgColor rgb="FF9C5700"/>
        <bgColor rgb="FF808000"/>
      </patternFill>
    </fill>
    <fill>
      <patternFill patternType="solid">
        <fgColor rgb="FF9C0006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E7E34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6DB4"/>
      <rgbColor rgb="FF33CCCC"/>
      <rgbColor rgb="FF99CC00"/>
      <rgbColor rgb="FFFFCC00"/>
      <rgbColor rgb="FFFF9900"/>
      <rgbColor rgb="FFFF6600"/>
      <rgbColor rgb="FF666699"/>
      <rgbColor rgb="FF70AD47"/>
      <rgbColor rgb="FF1B3A5C"/>
      <rgbColor rgb="FF339966"/>
      <rgbColor rgb="FF0D1B2A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10"/>
    <col collapsed="false" customWidth="true" hidden="false" outlineLevel="0" max="5" min="4" style="1" width="12"/>
    <col collapsed="false" customWidth="true" hidden="false" outlineLevel="0" max="8" min="6" style="1" width="26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3" customFormat="false" ht="30" hidden="false" customHeight="true" outlineLevel="0" collapsed="false">
      <c r="A3" s="3" t="s">
        <v>1</v>
      </c>
      <c r="B3" s="4" t="s">
        <v>2</v>
      </c>
      <c r="C3" s="3" t="s">
        <v>3</v>
      </c>
      <c r="D3" s="5" t="s">
        <v>4</v>
      </c>
      <c r="E3" s="3" t="s">
        <v>5</v>
      </c>
      <c r="F3" s="4" t="s">
        <v>6</v>
      </c>
      <c r="G3" s="4" t="s">
        <v>7</v>
      </c>
      <c r="H3" s="4" t="s">
        <v>8</v>
      </c>
    </row>
    <row r="4" customFormat="false" ht="19.5" hidden="false" customHeight="true" outlineLevel="0" collapsed="false">
      <c r="A4" s="6" t="s">
        <v>9</v>
      </c>
      <c r="B4" s="6"/>
      <c r="C4" s="6"/>
      <c r="D4" s="6"/>
      <c r="E4" s="6"/>
      <c r="F4" s="6"/>
      <c r="G4" s="6"/>
      <c r="H4" s="6"/>
    </row>
    <row r="5" customFormat="false" ht="39.75" hidden="false" customHeight="true" outlineLevel="0" collapsed="false">
      <c r="A5" s="7" t="n">
        <v>1</v>
      </c>
      <c r="B5" s="8" t="s">
        <v>10</v>
      </c>
      <c r="C5" s="9" t="n">
        <v>0.15</v>
      </c>
      <c r="D5" s="10"/>
      <c r="E5" s="11" t="str">
        <f aca="false">IF(ISNUMBER(D5),D5*C5,"")</f>
        <v/>
      </c>
      <c r="F5" s="12" t="s">
        <v>11</v>
      </c>
      <c r="G5" s="13" t="s">
        <v>12</v>
      </c>
      <c r="H5" s="14" t="s">
        <v>13</v>
      </c>
    </row>
    <row r="6" customFormat="false" ht="39.75" hidden="false" customHeight="true" outlineLevel="0" collapsed="false">
      <c r="A6" s="7" t="n">
        <v>2</v>
      </c>
      <c r="B6" s="8" t="s">
        <v>14</v>
      </c>
      <c r="C6" s="9" t="n">
        <v>0.12</v>
      </c>
      <c r="D6" s="10"/>
      <c r="E6" s="11" t="str">
        <f aca="false">IF(ISNUMBER(D6),D6*C6,"")</f>
        <v/>
      </c>
      <c r="F6" s="12" t="s">
        <v>15</v>
      </c>
      <c r="G6" s="13" t="s">
        <v>16</v>
      </c>
      <c r="H6" s="14" t="s">
        <v>17</v>
      </c>
    </row>
    <row r="7" customFormat="false" ht="39.75" hidden="false" customHeight="true" outlineLevel="0" collapsed="false">
      <c r="A7" s="7" t="n">
        <v>3</v>
      </c>
      <c r="B7" s="8" t="s">
        <v>18</v>
      </c>
      <c r="C7" s="9" t="n">
        <v>0.08</v>
      </c>
      <c r="D7" s="10"/>
      <c r="E7" s="11" t="str">
        <f aca="false">IF(ISNUMBER(D7),D7*C7,"")</f>
        <v/>
      </c>
      <c r="F7" s="12" t="s">
        <v>19</v>
      </c>
      <c r="G7" s="13" t="s">
        <v>20</v>
      </c>
      <c r="H7" s="14" t="s">
        <v>21</v>
      </c>
    </row>
    <row r="8" customFormat="false" ht="19.5" hidden="false" customHeight="true" outlineLevel="0" collapsed="false">
      <c r="A8" s="6" t="s">
        <v>22</v>
      </c>
      <c r="B8" s="6"/>
      <c r="C8" s="6"/>
      <c r="D8" s="6"/>
      <c r="E8" s="6"/>
      <c r="F8" s="6"/>
      <c r="G8" s="6"/>
      <c r="H8" s="6"/>
    </row>
    <row r="9" customFormat="false" ht="39.75" hidden="false" customHeight="true" outlineLevel="0" collapsed="false">
      <c r="A9" s="7" t="n">
        <v>4</v>
      </c>
      <c r="B9" s="8" t="s">
        <v>23</v>
      </c>
      <c r="C9" s="9" t="n">
        <v>0.12</v>
      </c>
      <c r="D9" s="10"/>
      <c r="E9" s="11" t="str">
        <f aca="false">IF(ISNUMBER(D9),D9*C9,"")</f>
        <v/>
      </c>
      <c r="F9" s="12" t="s">
        <v>24</v>
      </c>
      <c r="G9" s="13" t="s">
        <v>25</v>
      </c>
      <c r="H9" s="14" t="s">
        <v>26</v>
      </c>
    </row>
    <row r="10" customFormat="false" ht="39.75" hidden="false" customHeight="true" outlineLevel="0" collapsed="false">
      <c r="A10" s="7" t="n">
        <v>5</v>
      </c>
      <c r="B10" s="8" t="s">
        <v>27</v>
      </c>
      <c r="C10" s="9" t="n">
        <v>0.08</v>
      </c>
      <c r="D10" s="10"/>
      <c r="E10" s="11" t="str">
        <f aca="false">IF(ISNUMBER(D10),D10*C10,"")</f>
        <v/>
      </c>
      <c r="F10" s="12" t="s">
        <v>28</v>
      </c>
      <c r="G10" s="13" t="s">
        <v>29</v>
      </c>
      <c r="H10" s="14" t="s">
        <v>30</v>
      </c>
    </row>
    <row r="11" customFormat="false" ht="19.5" hidden="false" customHeight="true" outlineLevel="0" collapsed="false">
      <c r="A11" s="6" t="s">
        <v>31</v>
      </c>
      <c r="B11" s="6"/>
      <c r="C11" s="6"/>
      <c r="D11" s="6"/>
      <c r="E11" s="6"/>
      <c r="F11" s="6"/>
      <c r="G11" s="6"/>
      <c r="H11" s="6"/>
    </row>
    <row r="12" customFormat="false" ht="39.75" hidden="false" customHeight="true" outlineLevel="0" collapsed="false">
      <c r="A12" s="7" t="n">
        <v>6</v>
      </c>
      <c r="B12" s="8" t="s">
        <v>32</v>
      </c>
      <c r="C12" s="9" t="n">
        <v>0.1</v>
      </c>
      <c r="D12" s="10"/>
      <c r="E12" s="11" t="str">
        <f aca="false">IF(ISNUMBER(D12),D12*C12,"")</f>
        <v/>
      </c>
      <c r="F12" s="12" t="s">
        <v>33</v>
      </c>
      <c r="G12" s="13" t="s">
        <v>34</v>
      </c>
      <c r="H12" s="14" t="s">
        <v>35</v>
      </c>
    </row>
    <row r="13" customFormat="false" ht="39.75" hidden="false" customHeight="true" outlineLevel="0" collapsed="false">
      <c r="A13" s="7" t="n">
        <v>7</v>
      </c>
      <c r="B13" s="8" t="s">
        <v>36</v>
      </c>
      <c r="C13" s="9" t="n">
        <v>0.08</v>
      </c>
      <c r="D13" s="10"/>
      <c r="E13" s="11" t="str">
        <f aca="false">IF(ISNUMBER(D13),D13*C13,"")</f>
        <v/>
      </c>
      <c r="F13" s="12" t="s">
        <v>37</v>
      </c>
      <c r="G13" s="13" t="s">
        <v>38</v>
      </c>
      <c r="H13" s="14" t="s">
        <v>39</v>
      </c>
    </row>
    <row r="14" customFormat="false" ht="19.5" hidden="false" customHeight="true" outlineLevel="0" collapsed="false">
      <c r="A14" s="6" t="s">
        <v>40</v>
      </c>
      <c r="B14" s="6"/>
      <c r="C14" s="6"/>
      <c r="D14" s="6"/>
      <c r="E14" s="6"/>
      <c r="F14" s="6"/>
      <c r="G14" s="6"/>
      <c r="H14" s="6"/>
    </row>
    <row r="15" customFormat="false" ht="39.75" hidden="false" customHeight="true" outlineLevel="0" collapsed="false">
      <c r="A15" s="7" t="n">
        <v>8</v>
      </c>
      <c r="B15" s="8" t="s">
        <v>41</v>
      </c>
      <c r="C15" s="9" t="n">
        <v>0.1</v>
      </c>
      <c r="D15" s="10"/>
      <c r="E15" s="11" t="str">
        <f aca="false">IF(ISNUMBER(D15),D15*C15,"")</f>
        <v/>
      </c>
      <c r="F15" s="12" t="s">
        <v>42</v>
      </c>
      <c r="G15" s="13" t="s">
        <v>43</v>
      </c>
      <c r="H15" s="14" t="s">
        <v>44</v>
      </c>
    </row>
    <row r="16" customFormat="false" ht="39.75" hidden="false" customHeight="true" outlineLevel="0" collapsed="false">
      <c r="A16" s="7" t="n">
        <v>9</v>
      </c>
      <c r="B16" s="8" t="s">
        <v>45</v>
      </c>
      <c r="C16" s="9" t="n">
        <v>0.07</v>
      </c>
      <c r="D16" s="10"/>
      <c r="E16" s="11" t="str">
        <f aca="false">IF(ISNUMBER(D16),D16*C16,"")</f>
        <v/>
      </c>
      <c r="F16" s="12" t="s">
        <v>46</v>
      </c>
      <c r="G16" s="13" t="s">
        <v>47</v>
      </c>
      <c r="H16" s="14" t="s">
        <v>48</v>
      </c>
    </row>
    <row r="17" customFormat="false" ht="24" hidden="false" customHeight="true" outlineLevel="0" collapsed="false">
      <c r="A17" s="15"/>
      <c r="B17" s="16" t="s">
        <v>49</v>
      </c>
      <c r="C17" s="17" t="n">
        <v>1</v>
      </c>
      <c r="D17" s="15"/>
      <c r="E17" s="18" t="n">
        <f aca="false">ROUND((IF(ISNUMBER(D5),D5*C5,0)+IF(ISNUMBER(D6),D6*C6,0)+IF(ISNUMBER(D7),D7*C7,0)+IF(ISNUMBER(D9),D9*C9,0)+IF(ISNUMBER(D10),D10*C10,0)+IF(ISNUMBER(D12),D12*C12,0)+IF(ISNUMBER(D13),D13*C13,0)+IF(ISNUMBER(D15),D15*C15,0)+IF(ISNUMBER(D16),D16*C16,0))*20,1)</f>
        <v>0</v>
      </c>
      <c r="F17" s="15" t="s">
        <v>50</v>
      </c>
      <c r="G17" s="15"/>
      <c r="H17" s="15"/>
    </row>
    <row r="19" customFormat="false" ht="19.5" hidden="false" customHeight="true" outlineLevel="0" collapsed="false">
      <c r="A19" s="19" t="s">
        <v>51</v>
      </c>
      <c r="B19" s="19"/>
      <c r="C19" s="19"/>
      <c r="D19" s="19"/>
      <c r="E19" s="19"/>
      <c r="F19" s="19"/>
      <c r="G19" s="19"/>
      <c r="H19" s="19"/>
    </row>
    <row r="20" customFormat="false" ht="21.75" hidden="false" customHeight="true" outlineLevel="0" collapsed="false">
      <c r="A20" s="20" t="s">
        <v>52</v>
      </c>
      <c r="B20" s="21" t="s">
        <v>53</v>
      </c>
      <c r="C20" s="22" t="s">
        <v>54</v>
      </c>
      <c r="D20" s="22"/>
      <c r="E20" s="22"/>
      <c r="F20" s="22"/>
      <c r="G20" s="22"/>
      <c r="H20" s="22"/>
    </row>
    <row r="21" customFormat="false" ht="21.75" hidden="false" customHeight="true" outlineLevel="0" collapsed="false">
      <c r="A21" s="23" t="s">
        <v>55</v>
      </c>
      <c r="B21" s="24" t="s">
        <v>56</v>
      </c>
      <c r="C21" s="22" t="s">
        <v>57</v>
      </c>
      <c r="D21" s="22"/>
      <c r="E21" s="22"/>
      <c r="F21" s="22"/>
      <c r="G21" s="22"/>
      <c r="H21" s="22"/>
    </row>
    <row r="22" customFormat="false" ht="21.75" hidden="false" customHeight="true" outlineLevel="0" collapsed="false">
      <c r="A22" s="25" t="s">
        <v>58</v>
      </c>
      <c r="B22" s="26" t="s">
        <v>59</v>
      </c>
      <c r="C22" s="22" t="s">
        <v>60</v>
      </c>
      <c r="D22" s="22"/>
      <c r="E22" s="22"/>
      <c r="F22" s="22"/>
      <c r="G22" s="22"/>
      <c r="H22" s="22"/>
    </row>
    <row r="25" customFormat="false" ht="15" hidden="false" customHeight="true" outlineLevel="0" collapsed="false">
      <c r="A25" s="19" t="s">
        <v>61</v>
      </c>
      <c r="B25" s="19"/>
      <c r="C25" s="19"/>
      <c r="D25" s="19"/>
      <c r="E25" s="19"/>
    </row>
    <row r="26" customFormat="false" ht="24" hidden="false" customHeight="true" outlineLevel="0" collapsed="false">
      <c r="A26" s="27" t="n">
        <v>5</v>
      </c>
      <c r="B26" s="28" t="s">
        <v>62</v>
      </c>
      <c r="C26" s="22" t="s">
        <v>63</v>
      </c>
      <c r="D26" s="22"/>
      <c r="E26" s="22"/>
    </row>
    <row r="27" customFormat="false" ht="24" hidden="false" customHeight="true" outlineLevel="0" collapsed="false">
      <c r="A27" s="29" t="n">
        <v>4</v>
      </c>
      <c r="B27" s="30" t="s">
        <v>64</v>
      </c>
      <c r="C27" s="22" t="s">
        <v>65</v>
      </c>
      <c r="D27" s="22"/>
      <c r="E27" s="22"/>
    </row>
    <row r="28" customFormat="false" ht="24" hidden="false" customHeight="true" outlineLevel="0" collapsed="false">
      <c r="A28" s="31" t="n">
        <v>3</v>
      </c>
      <c r="B28" s="24" t="s">
        <v>66</v>
      </c>
      <c r="C28" s="22" t="s">
        <v>67</v>
      </c>
      <c r="D28" s="22"/>
      <c r="E28" s="22"/>
    </row>
    <row r="29" customFormat="false" ht="24" hidden="false" customHeight="true" outlineLevel="0" collapsed="false">
      <c r="A29" s="32" t="n">
        <v>2</v>
      </c>
      <c r="B29" s="26" t="s">
        <v>68</v>
      </c>
      <c r="C29" s="22" t="s">
        <v>69</v>
      </c>
      <c r="D29" s="22"/>
      <c r="E29" s="22"/>
    </row>
    <row r="30" customFormat="false" ht="24" hidden="false" customHeight="true" outlineLevel="0" collapsed="false">
      <c r="A30" s="32" t="n">
        <v>1</v>
      </c>
      <c r="B30" s="26" t="s">
        <v>70</v>
      </c>
      <c r="C30" s="22" t="s">
        <v>71</v>
      </c>
      <c r="D30" s="22"/>
      <c r="E30" s="22"/>
    </row>
  </sheetData>
  <mergeCells count="16">
    <mergeCell ref="A1:G1"/>
    <mergeCell ref="A4:H4"/>
    <mergeCell ref="A8:H8"/>
    <mergeCell ref="A11:H11"/>
    <mergeCell ref="A14:H14"/>
    <mergeCell ref="F17:H17"/>
    <mergeCell ref="A19:H19"/>
    <mergeCell ref="C20:H20"/>
    <mergeCell ref="C21:H21"/>
    <mergeCell ref="C22:H22"/>
    <mergeCell ref="A25:E25"/>
    <mergeCell ref="C26:E26"/>
    <mergeCell ref="C27:E27"/>
    <mergeCell ref="C28:E28"/>
    <mergeCell ref="C29:E29"/>
    <mergeCell ref="C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2026-06-04T12:59:52Z</dcterms:created>
  <dc:creator>openpyxl</dc:creator>
  <dc:description/>
  <dc:language>en-US</dc:language>
  <cp:lastModifiedBy/>
  <dcterms:modified xsi:type="dcterms:W3CDTF">2026-06-04T13:02:43Z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